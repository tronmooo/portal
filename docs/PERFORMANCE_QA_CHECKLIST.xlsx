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at" sheetId="2" state="visible" r:id="rId4"/>
    <sheet name="Dashboard" sheetId="3" state="visible" r:id="rId5"/>
    <sheet name="Trackers" sheetId="4" state="visible" r:id="rId6"/>
    <sheet name="Assets" sheetId="5" state="visible" r:id="rId7"/>
    <sheet name="Liabilities" sheetId="6" state="visible" r:id="rId8"/>
    <sheet name="Info Profiles" sheetId="7" state="visible" r:id="rId9"/>
    <sheet name="Profile Detail" sheetId="8" state="visible" r:id="rId10"/>
    <sheet name="Calendar" sheetId="9" state="visible" r:id="rId11"/>
    <sheet name="Tasks" sheetId="10" state="visible" r:id="rId12"/>
    <sheet name="Finance" sheetId="11" state="visible" r:id="rId13"/>
    <sheet name="Habits" sheetId="12" state="visible" r:id="rId14"/>
    <sheet name="Journal" sheetId="13" state="visible" r:id="rId15"/>
    <sheet name="Obligations" sheetId="14" state="visible" r:id="rId16"/>
    <sheet name="Goals" sheetId="15" state="visible" r:id="rId17"/>
    <sheet name="Wellness" sheetId="16" state="visible" r:id="rId18"/>
    <sheet name="Insights" sheetId="17" state="visible" r:id="rId19"/>
    <sheet name="Artifacts" sheetId="18" state="visible" r:id="rId20"/>
    <sheet name="Editor" sheetId="19" state="visible" r:id="rId21"/>
    <sheet name="Settings" sheetId="20" state="visible" r:id="rId22"/>
    <sheet name="CRUD" sheetId="21" state="visible" r:id="rId23"/>
    <sheet name="Chat Diagnostic" sheetId="22" state="visible" r:id="rId24"/>
    <sheet name="Navigation" sheetId="23" state="visible" r:id="rId25"/>
    <sheet name="Micro" sheetId="24" state="visible" r:id="rId26"/>
    <sheet name="Sync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<sst xmlns="http://schemas.openxmlformats.org/spreadsheetml/2006/main" count="1308" uniqueCount="262">
  <si>
    <t xml:space="preserve">Portal Performance QA — Audit Summary</t>
  </si>
  <si>
    <t xml:space="preserve">Audit date</t>
  </si>
  <si>
    <t xml:space="preserve">Auditor</t>
  </si>
  <si>
    <t xml:space="preserve">Build/commit</t>
  </si>
  <si>
    <t xml:space="preserve">Device + viewport</t>
  </si>
  <si>
    <t xml:space="preserve">run mobile ≤430px AND desktop ≥1280px</t>
  </si>
  <si>
    <t xml:space="preserve">Network profile</t>
  </si>
  <si>
    <t xml:space="preserve">run fast AND throttled</t>
  </si>
  <si>
    <t xml:space="preserve">Legend</t>
  </si>
  <si>
    <t xml:space="preserve">Yellow cells with blue text = your inputs (Actual ms, manual PASS/FAIL dropdowns, bug notes).</t>
  </si>
  <si>
    <t xml:space="preserve">Pass/Fail auto-computes wherever Max is numeric: PASS when Actual &lt;= Max. Record the WORST of 3 tries.</t>
  </si>
  <si>
    <t xml:space="preserve">Qualitative rows (Max shown as —) use the PASS/FAIL dropdown; Sync functional checks use YES/NO.</t>
  </si>
  <si>
    <t xml:space="preserve">Example row format: Action 'Send button reacts', Max 100, Actual 87 → PASS (auto). Actual 240 → FAIL, red.</t>
  </si>
  <si>
    <t xml:space="preserve">Targets from docs/PERFORMANCE_QA_CHECKLIST.md; base layer is Core Web Vitals (LCP 2.5s, INP 200ms, CLS 0.1).</t>
  </si>
  <si>
    <t xml:space="preserve">Run summary (fail counts update live from each tab)</t>
  </si>
  <si>
    <t xml:space="preserve">Tab</t>
  </si>
  <si>
    <t xml:space="preserve">Rows measured</t>
  </si>
  <si>
    <t xml:space="preserve">Fails</t>
  </si>
  <si>
    <t xml:space="preserve">Verdict</t>
  </si>
  <si>
    <t xml:space="preserve">Chat</t>
  </si>
  <si>
    <t xml:space="preserve">Dashboard</t>
  </si>
  <si>
    <t xml:space="preserve">Trackers</t>
  </si>
  <si>
    <t xml:space="preserve">Assets</t>
  </si>
  <si>
    <t xml:space="preserve">Liabilities</t>
  </si>
  <si>
    <t xml:space="preserve">Info Profiles</t>
  </si>
  <si>
    <t xml:space="preserve">Profile Detail</t>
  </si>
  <si>
    <t xml:space="preserve">Calendar</t>
  </si>
  <si>
    <t xml:space="preserve">Tasks</t>
  </si>
  <si>
    <t xml:space="preserve">Finance</t>
  </si>
  <si>
    <t xml:space="preserve">Habits</t>
  </si>
  <si>
    <t xml:space="preserve">Journal</t>
  </si>
  <si>
    <t xml:space="preserve">Obligations</t>
  </si>
  <si>
    <t xml:space="preserve">Goals</t>
  </si>
  <si>
    <t xml:space="preserve">Wellness</t>
  </si>
  <si>
    <t xml:space="preserve">Insights</t>
  </si>
  <si>
    <t xml:space="preserve">Artifacts</t>
  </si>
  <si>
    <t xml:space="preserve">Editor</t>
  </si>
  <si>
    <t xml:space="preserve">Settings</t>
  </si>
  <si>
    <t xml:space="preserve">CRUD</t>
  </si>
  <si>
    <t xml:space="preserve">Chat Diagnostic</t>
  </si>
  <si>
    <t xml:space="preserve">Navigation</t>
  </si>
  <si>
    <t xml:space="preserve">Micro</t>
  </si>
  <si>
    <t xml:space="preserve">Sync</t>
  </si>
  <si>
    <t xml:space="preserve">TOTAL</t>
  </si>
  <si>
    <t xml:space="preserve">Severity rules</t>
  </si>
  <si>
    <t xml:space="preserve">Severity</t>
  </si>
  <si>
    <t xml:space="preserve">Definition</t>
  </si>
  <si>
    <t xml:space="preserve">Examples</t>
  </si>
  <si>
    <t xml:space="preserve">P0</t>
  </si>
  <si>
    <t xml:space="preserve">Data integrity broken</t>
  </si>
  <si>
    <t xml:space="preserve">Saved wrong, cross-profile leakage, delete fails, duplicates, wrong totals, wrong calendar writes</t>
  </si>
  <si>
    <t xml:space="preserve">P1</t>
  </si>
  <si>
    <t xml:space="preserve">Mutation succeeds but user can't see it</t>
  </si>
  <si>
    <t xml:space="preserve">UI not updating, stale routes, chat item in wrong place, modal hangs &gt;500ms</t>
  </si>
  <si>
    <t xml:space="preserve">P2</t>
  </si>
  <si>
    <t xml:space="preserve">Noticeable non-blocking lag</t>
  </si>
  <si>
    <t xml:space="preserve">Animation hitch, delayed badge, dropdown &gt;200ms</t>
  </si>
  <si>
    <t xml:space="preserve">P3</t>
  </si>
  <si>
    <t xml:space="preserve">Cosmetic micro-jank</t>
  </si>
  <si>
    <t xml:space="preserve">No data or usability impact</t>
  </si>
  <si>
    <t xml:space="preserve">Release gate: zero open P0/P1; every FAIL row has a filed bug with repro. Overall verdict is computed in D42.</t>
  </si>
  <si>
    <t xml:space="preserve">Route audit — Chat  (/)</t>
  </si>
  <si>
    <t xml:space="preserve">Worst of 3 tries. Yellow cells are inputs. Pass/Fail auto-computes where Max is numeric; qualitative rows use the PASS/FAIL dropdown.</t>
  </si>
  <si>
    <t xml:space="preserve">#</t>
  </si>
  <si>
    <t xml:space="preserve">Action</t>
  </si>
  <si>
    <t xml:space="preserve">Ideal (ms)</t>
  </si>
  <si>
    <t xml:space="preserve">Max (ms)</t>
  </si>
  <si>
    <t xml:space="preserve">Actual</t>
  </si>
  <si>
    <t xml:space="preserve">Pass/Fail</t>
  </si>
  <si>
    <t xml:space="preserve">Bug notes</t>
  </si>
  <si>
    <t xml:space="preserve">R1</t>
  </si>
  <si>
    <t xml:space="preserve">Shell/skeleton visible after nav click</t>
  </si>
  <si>
    <t xml:space="preserve">R2</t>
  </si>
  <si>
    <t xml:space="preserve">First usable content (LCP)</t>
  </si>
  <si>
    <t xml:space="preserve">R3</t>
  </si>
  <si>
    <t xml:space="preserve">Data settled enough to use (1500 max allowed on heavy screens: Dashboard, Finance, Insights)</t>
  </si>
  <si>
    <t xml:space="preserve">R4</t>
  </si>
  <si>
    <t xml:space="preserve">Every sub-tab: content swap</t>
  </si>
  <si>
    <t xml:space="preserve">R5</t>
  </si>
  <si>
    <t xml:space="preserve">Every modal/sheet on this route: open</t>
  </si>
  <si>
    <t xml:space="preserve">R6</t>
  </si>
  <si>
    <t xml:space="preserve">Every modal/sheet: close (X and Escape)</t>
  </si>
  <si>
    <t xml:space="preserve">R7</t>
  </si>
  <si>
    <t xml:space="preserve">Every dropdown/menu/date-picker: open + selection applies</t>
  </si>
  <si>
    <t xml:space="preserve">R8</t>
  </si>
  <si>
    <t xml:space="preserve">Search/filter input on this route: per-keystroke</t>
  </si>
  <si>
    <t xml:space="preserve">R9</t>
  </si>
  <si>
    <t xml:space="preserve">Navigate away and back: no stale flash, state preserved</t>
  </si>
  <si>
    <t xml:space="preserve">—</t>
  </si>
  <si>
    <t xml:space="preserve">R10</t>
  </si>
  <si>
    <t xml:space="preserve">Repeat primary action 5x fast: no jank, no dupes, no races</t>
  </si>
  <si>
    <t xml:space="preserve">R11</t>
  </si>
  <si>
    <t xml:space="preserve">CLS during load and after mutations (enter CLS value, not ms; max 0.1)</t>
  </si>
  <si>
    <t xml:space="preserve">R12</t>
  </si>
  <si>
    <t xml:space="preserve">Mobile-width rerun of R1–R11 all within limits</t>
  </si>
  <si>
    <t xml:space="preserve">Route audit — Dashboard  (/dashboard)</t>
  </si>
  <si>
    <t xml:space="preserve">Route audit — Trackers  (/trackers)</t>
  </si>
  <si>
    <t xml:space="preserve">Route audit — Assets  (/linked)</t>
  </si>
  <si>
    <t xml:space="preserve">Route audit — Liabilities  (/liabilities)</t>
  </si>
  <si>
    <t xml:space="preserve">Route audit — Info / Profiles  (/profiles, /profiles/:id/info)</t>
  </si>
  <si>
    <t xml:space="preserve">Route audit — Profile detail  (/profiles/:id)</t>
  </si>
  <si>
    <t xml:space="preserve">Route audit — Calendar  (/calendar)</t>
  </si>
  <si>
    <t xml:space="preserve">Route audit — Tasks  (/tasks)</t>
  </si>
  <si>
    <t xml:space="preserve">Route audit — Finance  (/finance)</t>
  </si>
  <si>
    <t xml:space="preserve">Route audit — Habits  (/habits)</t>
  </si>
  <si>
    <t xml:space="preserve">Route audit — Journal  (/journal)</t>
  </si>
  <si>
    <t xml:space="preserve">Route audit — Obligations / Bills  (/obligations, /bills)</t>
  </si>
  <si>
    <t xml:space="preserve">Route audit — Goals  (/goals)</t>
  </si>
  <si>
    <t xml:space="preserve">Route audit — Wellness  (/wellness, /health)</t>
  </si>
  <si>
    <t xml:space="preserve">Route audit — Insights  (/insights)</t>
  </si>
  <si>
    <t xml:space="preserve">Route audit — Artifacts / Documents  (/artifacts, /documents/:id)</t>
  </si>
  <si>
    <t xml:space="preserve">Route audit — Editor  (/editor/:id)</t>
  </si>
  <si>
    <t xml:space="preserve">Route audit — Settings  (/settings)</t>
  </si>
  <si>
    <t xml:space="preserve">CRUD diagnostic — one block per entity</t>
  </si>
  <si>
    <t xml:space="preserve">Open create modal 150/250 · save create feedback &lt;100 / visible &lt;500 · open edit 150/250 · save edit &lt;100 / persisted &lt;500 · delete confirm 150/250 · removal &lt;100 / confirmed &lt;500 · cross-page propagation &lt;1000 / 2000 hard max. C2 failures on covered entities are P1.</t>
  </si>
  <si>
    <t xml:space="preserve">Check</t>
  </si>
  <si>
    <t xml:space="preserve">Task</t>
  </si>
  <si>
    <t xml:space="preserve">C1</t>
  </si>
  <si>
    <t xml:space="preserve">Create from native UI (button feedback &lt;100ms; visible in list)</t>
  </si>
  <si>
    <t xml:space="preserve">C2</t>
  </si>
  <si>
    <t xml:space="preserve">Create from chat (where ai-parity-matrix says covered/added)</t>
  </si>
  <si>
    <t xml:space="preserve">C3</t>
  </si>
  <si>
    <t xml:space="preserve">Edit title/name (field updates immediately)</t>
  </si>
  <si>
    <t xml:space="preserve">C4</t>
  </si>
  <si>
    <t xml:space="preserve">Edit metadata: amount, date, category, linked profile, notes</t>
  </si>
  <si>
    <t xml:space="preserve">C5</t>
  </si>
  <si>
    <t xml:space="preserve">Delete from detail view (visual removal)</t>
  </si>
  <si>
    <t xml:space="preserve">C6</t>
  </si>
  <si>
    <t xml:space="preserve">Delete from list/card row action (visual removal)</t>
  </si>
  <si>
    <t xml:space="preserve">C7</t>
  </si>
  <si>
    <t xml:space="preserve">Open item from dashboard/widget</t>
  </si>
  <si>
    <t xml:space="preserve">C8</t>
  </si>
  <si>
    <t xml:space="preserve">Open item from profile page</t>
  </si>
  <si>
    <t xml:space="preserve">C9</t>
  </si>
  <si>
    <t xml:space="preserve">Open item from linked/related page</t>
  </si>
  <si>
    <t xml:space="preserve">C10</t>
  </si>
  <si>
    <t xml:space="preserve">Item appears in search/filter results</t>
  </si>
  <si>
    <t xml:space="preserve">C11</t>
  </si>
  <si>
    <t xml:space="preserve">Item disappears everywhere after delete (lists, widgets, search, calendar)</t>
  </si>
  <si>
    <t xml:space="preserve">C12</t>
  </si>
  <si>
    <t xml:space="preserve">Counts, totals, badges, timeline widgets update</t>
  </si>
  <si>
    <t xml:space="preserve">C13</t>
  </si>
  <si>
    <t xml:space="preserve">Edit persists after navigating away and back</t>
  </si>
  <si>
    <t xml:space="preserve">Habit (+ check-in)</t>
  </si>
  <si>
    <t xml:space="preserve">Expense</t>
  </si>
  <si>
    <t xml:space="preserve">Income</t>
  </si>
  <si>
    <t xml:space="preserve">Obligation (bill/subscription/payment)</t>
  </si>
  <si>
    <t xml:space="preserve">Liability</t>
  </si>
  <si>
    <t xml:space="preserve">Calendar event</t>
  </si>
  <si>
    <t xml:space="preserve">Goal</t>
  </si>
  <si>
    <t xml:space="preserve">Journal entry</t>
  </si>
  <si>
    <t xml:space="preserve">Document</t>
  </si>
  <si>
    <t xml:space="preserve">Artifact (note/checklist/sheet)</t>
  </si>
  <si>
    <t xml:space="preserve">Tracker (+ entry)</t>
  </si>
  <si>
    <t xml:space="preserve">Profile (all types)</t>
  </si>
  <si>
    <t xml:space="preserve">Memory</t>
  </si>
  <si>
    <t xml:space="preserve">Chat diagnostic — stricter limits: chat is the primary surface</t>
  </si>
  <si>
    <t xml:space="preserve">CH1</t>
  </si>
  <si>
    <t xml:space="preserve">Focus composer</t>
  </si>
  <si>
    <t xml:space="preserve">CH2</t>
  </si>
  <si>
    <t xml:space="preserve">Typing latency (16ms/frame budget)</t>
  </si>
  <si>
    <t xml:space="preserve">CH3</t>
  </si>
  <si>
    <t xml:space="preserve">Suggested prompt chip inserts text</t>
  </si>
  <si>
    <t xml:space="preserve">CH4</t>
  </si>
  <si>
    <t xml:space="preserve">Attachment picker opens</t>
  </si>
  <si>
    <t xml:space="preserve">CH5</t>
  </si>
  <si>
    <t xml:space="preserve">Send button reacts</t>
  </si>
  <si>
    <t xml:space="preserve">CH6</t>
  </si>
  <si>
    <t xml:space="preserve">User bubble appears (before server completes)</t>
  </si>
  <si>
    <t xml:space="preserve">CH7</t>
  </si>
  <si>
    <t xml:space="preserve">Assistant 'thinking' state visible</t>
  </si>
  <si>
    <t xml:space="preserve">CH8</t>
  </si>
  <si>
    <t xml:space="preserve">Tool-result cards / extracted records render progressively, non-blocking</t>
  </si>
  <si>
    <t xml:space="preserve">CH9</t>
  </si>
  <si>
    <t xml:space="preserve">Chat thread open</t>
  </si>
  <si>
    <t xml:space="preserve">CH10</t>
  </si>
  <si>
    <t xml:space="preserve">Chat-created item appears in its module without refresh</t>
  </si>
  <si>
    <t xml:space="preserve">CH11</t>
  </si>
  <si>
    <t xml:space="preserve">Return to chat: thread restored from cache, no full reload</t>
  </si>
  <si>
    <t xml:space="preserve">CH12</t>
  </si>
  <si>
    <t xml:space="preserve">Bulk 'here's my day' multi-action message: all records land, UI responsive</t>
  </si>
  <si>
    <t xml:space="preserve">Navigation diagnostic — every transition has its own SLA</t>
  </si>
  <si>
    <t xml:space="preserve">N1</t>
  </si>
  <si>
    <t xml:space="preserve">Main nav (sidebar/hub tab) click — visual response</t>
  </si>
  <si>
    <t xml:space="preserve">N2</t>
  </si>
  <si>
    <t xml:space="preserve">Route shell visible</t>
  </si>
  <si>
    <t xml:space="preserve">N3</t>
  </si>
  <si>
    <t xml:space="preserve">Route data settled (normal screen)</t>
  </si>
  <si>
    <t xml:space="preserve">N4</t>
  </si>
  <si>
    <t xml:space="preserve">Route data settled (heavy: dashboard, finance, insights)</t>
  </si>
  <si>
    <t xml:space="preserve">N5</t>
  </si>
  <si>
    <t xml:space="preserve">Sub-tab switch incl. query-param tabs (/linked?tab=assets)</t>
  </si>
  <si>
    <t xml:space="preserve">N6</t>
  </si>
  <si>
    <t xml:space="preserve">Profile-to-profile switch — zero data from previous profile visible</t>
  </si>
  <si>
    <t xml:space="preserve">N7</t>
  </si>
  <si>
    <t xml:space="preserve">Open linked entity from a card</t>
  </si>
  <si>
    <t xml:space="preserve">N8</t>
  </si>
  <si>
    <t xml:space="preserve">Back from detail page — list state + scroll preserved</t>
  </si>
  <si>
    <t xml:space="preserve">N9</t>
  </si>
  <si>
    <t xml:space="preserve">Open settings / notifications / avatar menu</t>
  </si>
  <si>
    <t xml:space="preserve">N10</t>
  </si>
  <si>
    <t xml:space="preserve">Open + close drawers, overlays, full-screen dialogs (animation complete)</t>
  </si>
  <si>
    <t xml:space="preserve">N11</t>
  </si>
  <si>
    <t xml:space="preserve">Legacy aliases resolve, no 404/double-render (/bills, /health, /profile/:id, /dashboard/*)</t>
  </si>
  <si>
    <t xml:space="preserve">N12</t>
  </si>
  <si>
    <t xml:space="preserve">Query-string deep links match (/tasks?new=1, /finance?new=expense)</t>
  </si>
  <si>
    <t xml:space="preserve">Pop-ups and microinteractions — INP-aligned rubric</t>
  </si>
  <si>
    <t xml:space="preserve">&lt;100ms excellent · 100–200 acceptable · 200–300 noticeable lag (P2) · &gt;300 FAIL. Rating auto-computes from Actual.</t>
  </si>
  <si>
    <t xml:space="preserve">Microinteraction</t>
  </si>
  <si>
    <t xml:space="preserve">Actual (ms)</t>
  </si>
  <si>
    <t xml:space="preserve">Rating</t>
  </si>
  <si>
    <t xml:space="preserve">M1</t>
  </si>
  <si>
    <t xml:space="preserve">Tooltip opens</t>
  </si>
  <si>
    <t xml:space="preserve">M2</t>
  </si>
  <si>
    <t xml:space="preserve">Dropdown opens</t>
  </si>
  <si>
    <t xml:space="preserve">M3</t>
  </si>
  <si>
    <t xml:space="preserve">Dropdown selection applies</t>
  </si>
  <si>
    <t xml:space="preserve">M4</t>
  </si>
  <si>
    <t xml:space="preserve">Context menu opens</t>
  </si>
  <si>
    <t xml:space="preserve">M5</t>
  </si>
  <si>
    <t xml:space="preserve">Avatar menu opens</t>
  </si>
  <si>
    <t xml:space="preserve">M6</t>
  </si>
  <si>
    <t xml:space="preserve">Confirmation modal opens</t>
  </si>
  <si>
    <t xml:space="preserve">M7</t>
  </si>
  <si>
    <t xml:space="preserve">Sheet/drawer opens</t>
  </si>
  <si>
    <t xml:space="preserve">M8</t>
  </si>
  <si>
    <t xml:space="preserve">Date picker opens</t>
  </si>
  <si>
    <t xml:space="preserve">M9</t>
  </si>
  <si>
    <t xml:space="preserve">Quick-create FAB menu opens</t>
  </si>
  <si>
    <t xml:space="preserve">M10</t>
  </si>
  <si>
    <t xml:space="preserve">Chat suggestion bubble inserts text</t>
  </si>
  <si>
    <t xml:space="preserve">M11</t>
  </si>
  <si>
    <t xml:space="preserve">Toast appears after save/delete</t>
  </si>
  <si>
    <t xml:space="preserve">M12</t>
  </si>
  <si>
    <t xml:space="preserve">Close icon works instantly</t>
  </si>
  <si>
    <t xml:space="preserve">M13</t>
  </si>
  <si>
    <t xml:space="preserve">Escape key closes overlays instantly</t>
  </si>
  <si>
    <t xml:space="preserve">Dashboard and sync diagnostic — run after ANY mutation</t>
  </si>
  <si>
    <t xml:space="preserve">S1</t>
  </si>
  <si>
    <t xml:space="preserve">Same-screen optimistic update</t>
  </si>
  <si>
    <t xml:space="preserve">S2</t>
  </si>
  <si>
    <t xml:space="preserve">Same-screen server-confirmed state</t>
  </si>
  <si>
    <t xml:space="preserve">S3</t>
  </si>
  <si>
    <t xml:space="preserve">Related widgets on same route</t>
  </si>
  <si>
    <t xml:space="preserve">S4</t>
  </si>
  <si>
    <t xml:space="preserve">Other cached routes invalidated/refreshed</t>
  </si>
  <si>
    <t xml:space="preserve">S5</t>
  </si>
  <si>
    <t xml:space="preserve">Dashboard aggregate recompute visible (counts, totals, net worth)</t>
  </si>
  <si>
    <t xml:space="preserve">S6</t>
  </si>
  <si>
    <t xml:space="preserve">Full system consistency after mutation</t>
  </si>
  <si>
    <t xml:space="preserve">Functional checks after each mutation (YES = verified OK, NO = defect):</t>
  </si>
  <si>
    <t xml:space="preserve">Dashboard counts update</t>
  </si>
  <si>
    <t xml:space="preserve">Progress rings/bars update (habits, goals, budgets)</t>
  </si>
  <si>
    <t xml:space="preserve">Profile counters update</t>
  </si>
  <si>
    <t xml:space="preserve">Calendar shows/removes date-based items (events, tasks, obligations, habit check-ins)</t>
  </si>
  <si>
    <t xml:space="preserve">Money totals update for finance mutations (expenses, income, obligations, liabilities, net worth)</t>
  </si>
  <si>
    <t xml:space="preserve">Linked assets/relationships refresh correctly</t>
  </si>
  <si>
    <t xml:space="preserve">Search results reflect latest state</t>
  </si>
  <si>
    <t xml:space="preserve">Filters show no ghost records</t>
  </si>
  <si>
    <t xml:space="preserve">Deleted records gone from every cached list</t>
  </si>
  <si>
    <t xml:space="preserve">Returning to same route: no stale-value flash</t>
  </si>
  <si>
    <t xml:space="preserve">Mutation scoped to correct profile — zero cross-profile leakage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</si>
</sst>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/>
    </row>
    <row r="5" customFormat="false" ht="15" hidden="false" customHeight="false" outlineLevel="0" collapsed="false">
      <c r="A5" s="2" t="s">
        <v>3</v>
      </c>
      <c r="B5" s="3"/>
    </row>
    <row r="6" customFormat="false" ht="15" hidden="false" customHeight="false" outlineLevel="0" collapsed="false">
      <c r="A6" s="2" t="s">
        <v>4</v>
      </c>
      <c r="B6" s="3"/>
      <c r="C6" s="4" t="s">
        <v>5</v>
      </c>
    </row>
    <row r="7" customFormat="false" ht="15" hidden="false" customHeight="false" outlineLevel="0" collapsed="false">
      <c r="A7" s="2" t="s">
        <v>6</v>
      </c>
      <c r="B7" s="3"/>
      <c r="C7" s="4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5" t="s">
        <v>9</v>
      </c>
    </row>
    <row r="11" customFormat="false" ht="15" hidden="false" customHeight="false" outlineLevel="0" collapsed="false">
      <c r="A11" s="5" t="s">
        <v>10</v>
      </c>
    </row>
    <row r="12" customFormat="false" ht="15" hidden="false" customHeight="false" outlineLevel="0" collapsed="false">
      <c r="A12" s="5" t="s">
        <v>11</v>
      </c>
    </row>
    <row r="13" customFormat="false" ht="15" hidden="false" customHeight="false" outlineLevel="0" collapsed="false">
      <c r="A13" s="5" t="s">
        <v>12</v>
      </c>
    </row>
    <row r="14" customFormat="false" ht="15" hidden="false" customHeight="false" outlineLevel="0" collapsed="false">
      <c r="A14" s="5" t="s">
        <v>13</v>
      </c>
    </row>
    <row r="16" customFormat="false" ht="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6" t="s">
        <v>15</v>
      </c>
      <c r="B17" s="6" t="s">
        <v>16</v>
      </c>
      <c r="C17" s="6" t="s">
        <v>17</v>
      </c>
      <c r="D17" s="6" t="s">
        <v>18</v>
      </c>
    </row>
    <row r="18" customFormat="false" ht="15" hidden="false" customHeight="false" outlineLevel="0" collapsed="false">
      <c r="A18" s="7" t="s">
        <v>19</v>
      </c>
      <c r="B18" s="7" t="n">
        <f aca="false">COUNTIF(Chat!F:F,"PASS")+COUNTIF(Chat!F:F,"FAIL")+COUNTIF(Chat!F:F,"YES")+COUNTIF(Chat!F:F,"NO")</f>
        <v>0</v>
      </c>
      <c r="C18" s="7" t="n">
        <f aca="false">COUNTIF(Chat!F:F,"FAIL")+COUNTIF(Chat!F:F,"NO")</f>
        <v>0</v>
      </c>
      <c r="D18" s="7" t="str">
        <f aca="false">IF(B18=0,"",IF(C18=0,"PASS","FAIL"))</f>
        <v/>
      </c>
    </row>
    <row r="19" customFormat="false" ht="15" hidden="false" customHeight="false" outlineLevel="0" collapsed="false">
      <c r="A19" s="7" t="s">
        <v>20</v>
      </c>
      <c r="B19" s="7" t="n">
        <f aca="false">COUNTIF(Dashboard!F:F,"PASS")+COUNTIF(Dashboard!F:F,"FAIL")+COUNTIF(Dashboard!F:F,"YES")+COUNTIF(Dashboard!F:F,"NO")</f>
        <v>0</v>
      </c>
      <c r="C19" s="7" t="n">
        <f aca="false">COUNTIF(Dashboard!F:F,"FAIL")+COUNTIF(Dashboard!F:F,"NO")</f>
        <v>0</v>
      </c>
      <c r="D19" s="7" t="str">
        <f aca="false">IF(B19=0,"",IF(C19=0,"PASS","FAIL"))</f>
        <v/>
      </c>
    </row>
    <row r="20" customFormat="false" ht="15" hidden="false" customHeight="false" outlineLevel="0" collapsed="false">
      <c r="A20" s="7" t="s">
        <v>21</v>
      </c>
      <c r="B20" s="7" t="n">
        <f aca="false">COUNTIF(Trackers!F:F,"PASS")+COUNTIF(Trackers!F:F,"FAIL")+COUNTIF(Trackers!F:F,"YES")+COUNTIF(Trackers!F:F,"NO")</f>
        <v>0</v>
      </c>
      <c r="C20" s="7" t="n">
        <f aca="false">COUNTIF(Trackers!F:F,"FAIL")+COUNTIF(Trackers!F:F,"NO")</f>
        <v>0</v>
      </c>
      <c r="D20" s="7" t="str">
        <f aca="false">IF(B20=0,"",IF(C20=0,"PASS","FAIL"))</f>
        <v/>
      </c>
    </row>
    <row r="21" customFormat="false" ht="15" hidden="false" customHeight="false" outlineLevel="0" collapsed="false">
      <c r="A21" s="7" t="s">
        <v>22</v>
      </c>
      <c r="B21" s="7" t="n">
        <f aca="false">COUNTIF(Assets!F:F,"PASS")+COUNTIF(Assets!F:F,"FAIL")+COUNTIF(Assets!F:F,"YES")+COUNTIF(Assets!F:F,"NO")</f>
        <v>0</v>
      </c>
      <c r="C21" s="7" t="n">
        <f aca="false">COUNTIF(Assets!F:F,"FAIL")+COUNTIF(Assets!F:F,"NO")</f>
        <v>0</v>
      </c>
      <c r="D21" s="7" t="str">
        <f aca="false">IF(B21=0,"",IF(C21=0,"PASS","FAIL"))</f>
        <v/>
      </c>
    </row>
    <row r="22" customFormat="false" ht="15" hidden="false" customHeight="false" outlineLevel="0" collapsed="false">
      <c r="A22" s="7" t="s">
        <v>23</v>
      </c>
      <c r="B22" s="7" t="n">
        <f aca="false">COUNTIF(Liabilities!F:F,"PASS")+COUNTIF(Liabilities!F:F,"FAIL")+COUNTIF(Liabilities!F:F,"YES")+COUNTIF(Liabilities!F:F,"NO")</f>
        <v>0</v>
      </c>
      <c r="C22" s="7" t="n">
        <f aca="false">COUNTIF(Liabilities!F:F,"FAIL")+COUNTIF(Liabilities!F:F,"NO")</f>
        <v>0</v>
      </c>
      <c r="D22" s="7" t="str">
        <f aca="false">IF(B22=0,"",IF(C22=0,"PASS","FAIL"))</f>
        <v/>
      </c>
    </row>
    <row r="23" customFormat="false" ht="15" hidden="false" customHeight="false" outlineLevel="0" collapsed="false">
      <c r="A23" s="7" t="s">
        <v>24</v>
      </c>
      <c r="B23" s="7" t="n">
        <f aca="false">COUNTIF('Info Profiles'!F:F,"PASS")+COUNTIF('Info Profiles'!F:F,"FAIL")+COUNTIF('Info Profiles'!F:F,"YES")+COUNTIF('Info Profiles'!F:F,"NO")</f>
        <v>0</v>
      </c>
      <c r="C23" s="7" t="n">
        <f aca="false">COUNTIF('Info Profiles'!F:F,"FAIL")+COUNTIF('Info Profiles'!F:F,"NO")</f>
        <v>0</v>
      </c>
      <c r="D23" s="7" t="str">
        <f aca="false">IF(B23=0,"",IF(C23=0,"PASS","FAIL"))</f>
        <v/>
      </c>
    </row>
    <row r="24" customFormat="false" ht="15" hidden="false" customHeight="false" outlineLevel="0" collapsed="false">
      <c r="A24" s="7" t="s">
        <v>25</v>
      </c>
      <c r="B24" s="7" t="n">
        <f aca="false">COUNTIF('Profile Detail'!F:F,"PASS")+COUNTIF('Profile Detail'!F:F,"FAIL")+COUNTIF('Profile Detail'!F:F,"YES")+COUNTIF('Profile Detail'!F:F,"NO")</f>
        <v>0</v>
      </c>
      <c r="C24" s="7" t="n">
        <f aca="false">COUNTIF('Profile Detail'!F:F,"FAIL")+COUNTIF('Profile Detail'!F:F,"NO")</f>
        <v>0</v>
      </c>
      <c r="D24" s="7" t="str">
        <f aca="false">IF(B24=0,"",IF(C24=0,"PASS","FAIL"))</f>
        <v/>
      </c>
    </row>
    <row r="25" customFormat="false" ht="15" hidden="false" customHeight="false" outlineLevel="0" collapsed="false">
      <c r="A25" s="7" t="s">
        <v>26</v>
      </c>
      <c r="B25" s="7" t="n">
        <f aca="false">COUNTIF(Calendar!F:F,"PASS")+COUNTIF(Calendar!F:F,"FAIL")+COUNTIF(Calendar!F:F,"YES")+COUNTIF(Calendar!F:F,"NO")</f>
        <v>0</v>
      </c>
      <c r="C25" s="7" t="n">
        <f aca="false">COUNTIF(Calendar!F:F,"FAIL")+COUNTIF(Calendar!F:F,"NO")</f>
        <v>0</v>
      </c>
      <c r="D25" s="7" t="str">
        <f aca="false">IF(B25=0,"",IF(C25=0,"PASS","FAIL"))</f>
        <v/>
      </c>
    </row>
    <row r="26" customFormat="false" ht="15" hidden="false" customHeight="false" outlineLevel="0" collapsed="false">
      <c r="A26" s="7" t="s">
        <v>27</v>
      </c>
      <c r="B26" s="7" t="n">
        <f aca="false">COUNTIF(Tasks!F:F,"PASS")+COUNTIF(Tasks!F:F,"FAIL")+COUNTIF(Tasks!F:F,"YES")+COUNTIF(Tasks!F:F,"NO")</f>
        <v>0</v>
      </c>
      <c r="C26" s="7" t="n">
        <f aca="false">COUNTIF(Tasks!F:F,"FAIL")+COUNTIF(Tasks!F:F,"NO")</f>
        <v>0</v>
      </c>
      <c r="D26" s="7" t="str">
        <f aca="false">IF(B26=0,"",IF(C26=0,"PASS","FAIL"))</f>
        <v/>
      </c>
    </row>
    <row r="27" customFormat="false" ht="15" hidden="false" customHeight="false" outlineLevel="0" collapsed="false">
      <c r="A27" s="7" t="s">
        <v>28</v>
      </c>
      <c r="B27" s="7" t="n">
        <f aca="false">COUNTIF(Finance!F:F,"PASS")+COUNTIF(Finance!F:F,"FAIL")+COUNTIF(Finance!F:F,"YES")+COUNTIF(Finance!F:F,"NO")</f>
        <v>0</v>
      </c>
      <c r="C27" s="7" t="n">
        <f aca="false">COUNTIF(Finance!F:F,"FAIL")+COUNTIF(Finance!F:F,"NO")</f>
        <v>0</v>
      </c>
      <c r="D27" s="7" t="str">
        <f aca="false">IF(B27=0,"",IF(C27=0,"PASS","FAIL"))</f>
        <v/>
      </c>
    </row>
    <row r="28" customFormat="false" ht="15" hidden="false" customHeight="false" outlineLevel="0" collapsed="false">
      <c r="A28" s="7" t="s">
        <v>29</v>
      </c>
      <c r="B28" s="7" t="n">
        <f aca="false">COUNTIF(Habits!F:F,"PASS")+COUNTIF(Habits!F:F,"FAIL")+COUNTIF(Habits!F:F,"YES")+COUNTIF(Habits!F:F,"NO")</f>
        <v>0</v>
      </c>
      <c r="C28" s="7" t="n">
        <f aca="false">COUNTIF(Habits!F:F,"FAIL")+COUNTIF(Habits!F:F,"NO")</f>
        <v>0</v>
      </c>
      <c r="D28" s="7" t="str">
        <f aca="false">IF(B28=0,"",IF(C28=0,"PASS","FAIL"))</f>
        <v/>
      </c>
    </row>
    <row r="29" customFormat="false" ht="15" hidden="false" customHeight="false" outlineLevel="0" collapsed="false">
      <c r="A29" s="7" t="s">
        <v>30</v>
      </c>
      <c r="B29" s="7" t="n">
        <f aca="false">COUNTIF(Journal!F:F,"PASS")+COUNTIF(Journal!F:F,"FAIL")+COUNTIF(Journal!F:F,"YES")+COUNTIF(Journal!F:F,"NO")</f>
        <v>0</v>
      </c>
      <c r="C29" s="7" t="n">
        <f aca="false">COUNTIF(Journal!F:F,"FAIL")+COUNTIF(Journal!F:F,"NO")</f>
        <v>0</v>
      </c>
      <c r="D29" s="7" t="str">
        <f aca="false">IF(B29=0,"",IF(C29=0,"PASS","FAIL"))</f>
        <v/>
      </c>
    </row>
    <row r="30" customFormat="false" ht="15" hidden="false" customHeight="false" outlineLevel="0" collapsed="false">
      <c r="A30" s="7" t="s">
        <v>31</v>
      </c>
      <c r="B30" s="7" t="n">
        <f aca="false">COUNTIF(Obligations!F:F,"PASS")+COUNTIF(Obligations!F:F,"FAIL")+COUNTIF(Obligations!F:F,"YES")+COUNTIF(Obligations!F:F,"NO")</f>
        <v>0</v>
      </c>
      <c r="C30" s="7" t="n">
        <f aca="false">COUNTIF(Obligations!F:F,"FAIL")+COUNTIF(Obligations!F:F,"NO")</f>
        <v>0</v>
      </c>
      <c r="D30" s="7" t="str">
        <f aca="false">IF(B30=0,"",IF(C30=0,"PASS","FAIL"))</f>
        <v/>
      </c>
    </row>
    <row r="31" customFormat="false" ht="15" hidden="false" customHeight="false" outlineLevel="0" collapsed="false">
      <c r="A31" s="7" t="s">
        <v>32</v>
      </c>
      <c r="B31" s="7" t="n">
        <f aca="false">COUNTIF(Goals!F:F,"PASS")+COUNTIF(Goals!F:F,"FAIL")+COUNTIF(Goals!F:F,"YES")+COUNTIF(Goals!F:F,"NO")</f>
        <v>0</v>
      </c>
      <c r="C31" s="7" t="n">
        <f aca="false">COUNTIF(Goals!F:F,"FAIL")+COUNTIF(Goals!F:F,"NO")</f>
        <v>0</v>
      </c>
      <c r="D31" s="7" t="str">
        <f aca="false">IF(B31=0,"",IF(C31=0,"PASS","FAIL"))</f>
        <v/>
      </c>
    </row>
    <row r="32" customFormat="false" ht="15" hidden="false" customHeight="false" outlineLevel="0" collapsed="false">
      <c r="A32" s="7" t="s">
        <v>33</v>
      </c>
      <c r="B32" s="7" t="n">
        <f aca="false">COUNTIF(Wellness!F:F,"PASS")+COUNTIF(Wellness!F:F,"FAIL")+COUNTIF(Wellness!F:F,"YES")+COUNTIF(Wellness!F:F,"NO")</f>
        <v>0</v>
      </c>
      <c r="C32" s="7" t="n">
        <f aca="false">COUNTIF(Wellness!F:F,"FAIL")+COUNTIF(Wellness!F:F,"NO")</f>
        <v>0</v>
      </c>
      <c r="D32" s="7" t="str">
        <f aca="false">IF(B32=0,"",IF(C32=0,"PASS","FAIL"))</f>
        <v/>
      </c>
    </row>
    <row r="33" customFormat="false" ht="15" hidden="false" customHeight="false" outlineLevel="0" collapsed="false">
      <c r="A33" s="7" t="s">
        <v>34</v>
      </c>
      <c r="B33" s="7" t="n">
        <f aca="false">COUNTIF(Insights!F:F,"PASS")+COUNTIF(Insights!F:F,"FAIL")+COUNTIF(Insights!F:F,"YES")+COUNTIF(Insights!F:F,"NO")</f>
        <v>0</v>
      </c>
      <c r="C33" s="7" t="n">
        <f aca="false">COUNTIF(Insights!F:F,"FAIL")+COUNTIF(Insights!F:F,"NO")</f>
        <v>0</v>
      </c>
      <c r="D33" s="7" t="str">
        <f aca="false">IF(B33=0,"",IF(C33=0,"PASS","FAIL"))</f>
        <v/>
      </c>
    </row>
    <row r="34" customFormat="false" ht="15" hidden="false" customHeight="false" outlineLevel="0" collapsed="false">
      <c r="A34" s="7" t="s">
        <v>35</v>
      </c>
      <c r="B34" s="7" t="n">
        <f aca="false">COUNTIF(Artifacts!F:F,"PASS")+COUNTIF(Artifacts!F:F,"FAIL")+COUNTIF(Artifacts!F:F,"YES")+COUNTIF(Artifacts!F:F,"NO")</f>
        <v>0</v>
      </c>
      <c r="C34" s="7" t="n">
        <f aca="false">COUNTIF(Artifacts!F:F,"FAIL")+COUNTIF(Artifacts!F:F,"NO")</f>
        <v>0</v>
      </c>
      <c r="D34" s="7" t="str">
        <f aca="false">IF(B34=0,"",IF(C34=0,"PASS","FAIL"))</f>
        <v/>
      </c>
    </row>
    <row r="35" customFormat="false" ht="15" hidden="false" customHeight="false" outlineLevel="0" collapsed="false">
      <c r="A35" s="7" t="s">
        <v>36</v>
      </c>
      <c r="B35" s="7" t="n">
        <f aca="false">COUNTIF(Editor!F:F,"PASS")+COUNTIF(Editor!F:F,"FAIL")+COUNTIF(Editor!F:F,"YES")+COUNTIF(Editor!F:F,"NO")</f>
        <v>0</v>
      </c>
      <c r="C35" s="7" t="n">
        <f aca="false">COUNTIF(Editor!F:F,"FAIL")+COUNTIF(Editor!F:F,"NO")</f>
        <v>0</v>
      </c>
      <c r="D35" s="7" t="str">
        <f aca="false">IF(B35=0,"",IF(C35=0,"PASS","FAIL"))</f>
        <v/>
      </c>
    </row>
    <row r="36" customFormat="false" ht="15" hidden="false" customHeight="false" outlineLevel="0" collapsed="false">
      <c r="A36" s="7" t="s">
        <v>37</v>
      </c>
      <c r="B36" s="7" t="n">
        <f aca="false">COUNTIF(Settings!F:F,"PASS")+COUNTIF(Settings!F:F,"FAIL")+COUNTIF(Settings!F:F,"YES")+COUNTIF(Settings!F:F,"NO")</f>
        <v>0</v>
      </c>
      <c r="C36" s="7" t="n">
        <f aca="false">COUNTIF(Settings!F:F,"FAIL")+COUNTIF(Settings!F:F,"NO")</f>
        <v>0</v>
      </c>
      <c r="D36" s="7" t="str">
        <f aca="false">IF(B36=0,"",IF(C36=0,"PASS","FAIL"))</f>
        <v/>
      </c>
    </row>
    <row r="37" customFormat="false" ht="15" hidden="false" customHeight="false" outlineLevel="0" collapsed="false">
      <c r="A37" s="7" t="s">
        <v>38</v>
      </c>
      <c r="B37" s="7" t="n">
        <f aca="false">COUNTIF(CRUD!F:F,"PASS")+COUNTIF(CRUD!F:F,"FAIL")+COUNTIF(CRUD!F:F,"YES")+COUNTIF(CRUD!F:F,"NO")</f>
        <v>0</v>
      </c>
      <c r="C37" s="7" t="n">
        <f aca="false">COUNTIF(CRUD!F:F,"FAIL")+COUNTIF(CRUD!F:F,"NO")</f>
        <v>0</v>
      </c>
      <c r="D37" s="7" t="str">
        <f aca="false">IF(B37=0,"",IF(C37=0,"PASS","FAIL"))</f>
        <v/>
      </c>
    </row>
    <row r="38" customFormat="false" ht="15" hidden="false" customHeight="false" outlineLevel="0" collapsed="false">
      <c r="A38" s="7" t="s">
        <v>39</v>
      </c>
      <c r="B38" s="7" t="n">
        <f aca="false">COUNTIF('Chat Diagnostic'!F:F,"PASS")+COUNTIF('Chat Diagnostic'!F:F,"FAIL")+COUNTIF('Chat Diagnostic'!F:F,"YES")+COUNTIF('Chat Diagnostic'!F:F,"NO")</f>
        <v>0</v>
      </c>
      <c r="C38" s="7" t="n">
        <f aca="false">COUNTIF('Chat Diagnostic'!F:F,"FAIL")+COUNTIF('Chat Diagnostic'!F:F,"NO")</f>
        <v>0</v>
      </c>
      <c r="D38" s="7" t="str">
        <f aca="false">IF(B38=0,"",IF(C38=0,"PASS","FAIL"))</f>
        <v/>
      </c>
    </row>
    <row r="39" customFormat="false" ht="15" hidden="false" customHeight="false" outlineLevel="0" collapsed="false">
      <c r="A39" s="7" t="s">
        <v>40</v>
      </c>
      <c r="B39" s="7" t="n">
        <f aca="false">COUNTIF(Navigation!F:F,"PASS")+COUNTIF(Navigation!F:F,"FAIL")+COUNTIF(Navigation!F:F,"YES")+COUNTIF(Navigation!F:F,"NO")</f>
        <v>0</v>
      </c>
      <c r="C39" s="7" t="n">
        <f aca="false">COUNTIF(Navigation!F:F,"FAIL")+COUNTIF(Navigation!F:F,"NO")</f>
        <v>0</v>
      </c>
      <c r="D39" s="7" t="str">
        <f aca="false">IF(B39=0,"",IF(C39=0,"PASS","FAIL"))</f>
        <v/>
      </c>
    </row>
    <row r="40" customFormat="false" ht="15" hidden="false" customHeight="false" outlineLevel="0" collapsed="false">
      <c r="A40" s="7" t="s">
        <v>41</v>
      </c>
      <c r="B40" s="7" t="n">
        <f aca="false">COUNTIF(Micro!E:E,"PASS")+COUNTIF(Micro!E:E,"FAIL")+COUNTIF(Micro!E:E,"YES")+COUNTIF(Micro!E:E,"NO")</f>
        <v>0</v>
      </c>
      <c r="C40" s="7" t="n">
        <f aca="false">COUNTIF(Micro!E:E,"FAIL")+COUNTIF(Micro!E:E,"NO")</f>
        <v>0</v>
      </c>
      <c r="D40" s="7" t="str">
        <f aca="false">IF(B40=0,"",IF(C40=0,"PASS","FAIL"))</f>
        <v/>
      </c>
    </row>
    <row r="41" customFormat="false" ht="15" hidden="false" customHeight="false" outlineLevel="0" collapsed="false">
      <c r="A41" s="7" t="s">
        <v>42</v>
      </c>
      <c r="B41" s="7" t="n">
        <f aca="false">COUNTIF(Sync!F:F,"PASS")+COUNTIF(Sync!F:F,"FAIL")+COUNTIF(Sync!F:F,"YES")+COUNTIF(Sync!F:F,"NO")</f>
        <v>0</v>
      </c>
      <c r="C41" s="7" t="n">
        <f aca="false">COUNTIF(Sync!F:F,"FAIL")+COUNTIF(Sync!F:F,"NO")</f>
        <v>0</v>
      </c>
      <c r="D41" s="7" t="str">
        <f aca="false">IF(B41=0,"",IF(C41=0,"PASS","FAIL"))</f>
        <v/>
      </c>
    </row>
    <row r="42" customFormat="false" ht="15" hidden="false" customHeight="false" outlineLevel="0" collapsed="false">
      <c r="A42" s="8" t="s">
        <v>43</v>
      </c>
      <c r="B42" s="8" t="n">
        <f aca="false">SUM(B18:B41)</f>
        <v>0</v>
      </c>
      <c r="C42" s="8" t="n">
        <f aca="false">SUM(C18:C41)</f>
        <v>0</v>
      </c>
      <c r="D42" s="8" t="str">
        <f aca="false">IF(B42=0,"",IF(C42=0,"PASS","FAIL"))</f>
        <v/>
      </c>
    </row>
    <row r="44" customFormat="false" ht="15" hidden="false" customHeight="false" outlineLevel="0" collapsed="false">
      <c r="A44" s="2" t="s">
        <v>44</v>
      </c>
    </row>
    <row r="45" customFormat="false" ht="15" hidden="false" customHeight="false" outlineLevel="0" collapsed="false">
      <c r="A45" s="6" t="s">
        <v>45</v>
      </c>
      <c r="B45" s="6" t="s">
        <v>46</v>
      </c>
      <c r="C45" s="6" t="s">
        <v>47</v>
      </c>
    </row>
    <row r="46" customFormat="false" ht="23.85" hidden="false" customHeight="false" outlineLevel="0" collapsed="false">
      <c r="A46" s="8" t="s">
        <v>48</v>
      </c>
      <c r="B46" s="7" t="s">
        <v>49</v>
      </c>
      <c r="C46" s="9" t="s">
        <v>50</v>
      </c>
    </row>
    <row r="47" customFormat="false" ht="23.85" hidden="false" customHeight="false" outlineLevel="0" collapsed="false">
      <c r="A47" s="8" t="s">
        <v>51</v>
      </c>
      <c r="B47" s="7" t="s">
        <v>52</v>
      </c>
      <c r="C47" s="9" t="s">
        <v>53</v>
      </c>
    </row>
    <row r="48" customFormat="false" ht="15" hidden="false" customHeight="false" outlineLevel="0" collapsed="false">
      <c r="A48" s="8" t="s">
        <v>54</v>
      </c>
      <c r="B48" s="7" t="s">
        <v>55</v>
      </c>
      <c r="C48" s="9" t="s">
        <v>56</v>
      </c>
    </row>
    <row r="49" customFormat="false" ht="15" hidden="false" customHeight="false" outlineLevel="0" collapsed="false">
      <c r="A49" s="8" t="s">
        <v>57</v>
      </c>
      <c r="B49" s="7" t="s">
        <v>58</v>
      </c>
      <c r="C49" s="9" t="s">
        <v>59</v>
      </c>
    </row>
    <row r="51" customFormat="false" ht="15" hidden="false" customHeight="false" outlineLevel="0" collapsed="false">
      <c r="A51" s="4" t="s">
        <v>60</v>
      </c>
    </row>
  </sheetData>
  <conditionalFormatting sqref="D18:D42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61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95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96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97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98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99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100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101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102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103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104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105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106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107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108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109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110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111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112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7" t="n">
        <v>100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72</v>
      </c>
      <c r="B6" s="9" t="s">
        <v>73</v>
      </c>
      <c r="C6" s="7" t="n">
        <v>2000</v>
      </c>
      <c r="D6" s="7" t="n">
        <v>2500</v>
      </c>
      <c r="E6" s="11"/>
      <c r="F6" s="7" t="str">
        <f aca="false">IF(E6="","",IF(E6&lt;=D6,"PASS","FAIL"))</f>
        <v/>
      </c>
      <c r="G6" s="12"/>
    </row>
    <row r="7" customFormat="false" ht="23.85" hidden="false" customHeight="false" outlineLevel="0" collapsed="false">
      <c r="A7" s="8" t="s">
        <v>74</v>
      </c>
      <c r="B7" s="9" t="s">
        <v>75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76</v>
      </c>
      <c r="B8" s="9" t="s">
        <v>77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78</v>
      </c>
      <c r="B9" s="9" t="s">
        <v>79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80</v>
      </c>
      <c r="B10" s="9" t="s">
        <v>81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82</v>
      </c>
      <c r="B11" s="9" t="s">
        <v>83</v>
      </c>
      <c r="C11" s="7" t="n">
        <v>100</v>
      </c>
      <c r="D11" s="7" t="n">
        <v>200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84</v>
      </c>
      <c r="B12" s="9" t="s">
        <v>85</v>
      </c>
      <c r="C12" s="7" t="n">
        <v>50</v>
      </c>
      <c r="D12" s="7" t="n">
        <v>100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86</v>
      </c>
      <c r="B13" s="9" t="s">
        <v>87</v>
      </c>
      <c r="C13" s="13"/>
      <c r="D13" s="7" t="s">
        <v>88</v>
      </c>
      <c r="E13" s="11"/>
      <c r="F13" s="11"/>
      <c r="G13" s="12"/>
    </row>
    <row r="14" customFormat="false" ht="15" hidden="false" customHeight="false" outlineLevel="0" collapsed="false">
      <c r="A14" s="8" t="s">
        <v>89</v>
      </c>
      <c r="B14" s="9" t="s">
        <v>90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91</v>
      </c>
      <c r="B15" s="9" t="s">
        <v>92</v>
      </c>
      <c r="C15" s="13"/>
      <c r="D15" s="7" t="n">
        <v>0.1</v>
      </c>
      <c r="E15" s="11"/>
      <c r="F15" s="7" t="str">
        <f aca="false">IF(E15="","",IF(E15&lt;=D15,"PASS","FAIL"))</f>
        <v/>
      </c>
      <c r="G15" s="12"/>
    </row>
    <row r="16" customFormat="false" ht="15" hidden="false" customHeight="false" outlineLevel="0" collapsed="false">
      <c r="A16" s="8" t="s">
        <v>93</v>
      </c>
      <c r="B16" s="9" t="s">
        <v>94</v>
      </c>
      <c r="C16" s="13"/>
      <c r="D16" s="7" t="s">
        <v>88</v>
      </c>
      <c r="E16" s="11"/>
      <c r="F16" s="11"/>
      <c r="G16" s="12"/>
    </row>
  </sheetData>
  <conditionalFormatting sqref="F5:F16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3:F14 F16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113</v>
      </c>
    </row>
    <row r="2" customFormat="false" ht="304.45" hidden="false" customHeight="false" outlineLevel="0" collapsed="false">
      <c r="A2" s="14" t="s">
        <v>114</v>
      </c>
    </row>
    <row r="4" customFormat="false" ht="15" hidden="false" customHeight="false" outlineLevel="0" collapsed="false">
      <c r="A4" s="6" t="s">
        <v>63</v>
      </c>
      <c r="B4" s="6" t="s">
        <v>115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15" t="s">
        <v>116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8" t="s">
        <v>117</v>
      </c>
      <c r="B6" s="9" t="s">
        <v>118</v>
      </c>
      <c r="C6" s="7" t="n">
        <v>100</v>
      </c>
      <c r="D6" s="7" t="n">
        <v>500</v>
      </c>
      <c r="E6" s="11"/>
      <c r="F6" s="7" t="str">
        <f aca="false">IF(E6="","",IF(E6&lt;=D6,"PASS","FAIL"))</f>
        <v/>
      </c>
      <c r="G6" s="11"/>
    </row>
    <row r="7" customFormat="false" ht="15" hidden="false" customHeight="false" outlineLevel="0" collapsed="false">
      <c r="A7" s="8" t="s">
        <v>119</v>
      </c>
      <c r="B7" s="9" t="s">
        <v>120</v>
      </c>
      <c r="C7" s="7" t="n">
        <v>500</v>
      </c>
      <c r="D7" s="7" t="n">
        <v>1000</v>
      </c>
      <c r="E7" s="11"/>
      <c r="F7" s="7" t="str">
        <f aca="false">IF(E7="","",IF(E7&lt;=D7,"PASS","FAIL"))</f>
        <v/>
      </c>
      <c r="G7" s="11"/>
    </row>
    <row r="8" customFormat="false" ht="15" hidden="false" customHeight="false" outlineLevel="0" collapsed="false">
      <c r="A8" s="8" t="s">
        <v>121</v>
      </c>
      <c r="B8" s="9" t="s">
        <v>122</v>
      </c>
      <c r="C8" s="7" t="n">
        <v>100</v>
      </c>
      <c r="D8" s="7" t="n">
        <v>500</v>
      </c>
      <c r="E8" s="11"/>
      <c r="F8" s="7" t="str">
        <f aca="false">IF(E8="","",IF(E8&lt;=D8,"PASS","FAIL"))</f>
        <v/>
      </c>
      <c r="G8" s="11"/>
    </row>
    <row r="9" customFormat="false" ht="15" hidden="false" customHeight="false" outlineLevel="0" collapsed="false">
      <c r="A9" s="8" t="s">
        <v>123</v>
      </c>
      <c r="B9" s="9" t="s">
        <v>124</v>
      </c>
      <c r="C9" s="7" t="n">
        <v>100</v>
      </c>
      <c r="D9" s="7" t="n">
        <v>500</v>
      </c>
      <c r="E9" s="11"/>
      <c r="F9" s="7" t="str">
        <f aca="false">IF(E9="","",IF(E9&lt;=D9,"PASS","FAIL"))</f>
        <v/>
      </c>
      <c r="G9" s="11"/>
    </row>
    <row r="10" customFormat="false" ht="15" hidden="false" customHeight="false" outlineLevel="0" collapsed="false">
      <c r="A10" s="8" t="s">
        <v>125</v>
      </c>
      <c r="B10" s="9" t="s">
        <v>126</v>
      </c>
      <c r="C10" s="7" t="n">
        <v>100</v>
      </c>
      <c r="D10" s="7" t="n">
        <v>500</v>
      </c>
      <c r="E10" s="11"/>
      <c r="F10" s="7" t="str">
        <f aca="false">IF(E10="","",IF(E10&lt;=D10,"PASS","FAIL"))</f>
        <v/>
      </c>
      <c r="G10" s="11"/>
    </row>
    <row r="11" customFormat="false" ht="15" hidden="false" customHeight="false" outlineLevel="0" collapsed="false">
      <c r="A11" s="8" t="s">
        <v>127</v>
      </c>
      <c r="B11" s="9" t="s">
        <v>128</v>
      </c>
      <c r="C11" s="7" t="n">
        <v>100</v>
      </c>
      <c r="D11" s="7" t="n">
        <v>500</v>
      </c>
      <c r="E11" s="11"/>
      <c r="F11" s="7" t="str">
        <f aca="false">IF(E11="","",IF(E11&lt;=D11,"PASS","FAIL"))</f>
        <v/>
      </c>
      <c r="G11" s="11"/>
    </row>
    <row r="12" customFormat="false" ht="15" hidden="false" customHeight="false" outlineLevel="0" collapsed="false">
      <c r="A12" s="8" t="s">
        <v>129</v>
      </c>
      <c r="B12" s="9" t="s">
        <v>130</v>
      </c>
      <c r="C12" s="7" t="n">
        <v>150</v>
      </c>
      <c r="D12" s="7" t="n">
        <v>300</v>
      </c>
      <c r="E12" s="11"/>
      <c r="F12" s="7" t="str">
        <f aca="false">IF(E12="","",IF(E12&lt;=D12,"PASS","FAIL"))</f>
        <v/>
      </c>
      <c r="G12" s="11"/>
    </row>
    <row r="13" customFormat="false" ht="15" hidden="false" customHeight="false" outlineLevel="0" collapsed="false">
      <c r="A13" s="8" t="s">
        <v>131</v>
      </c>
      <c r="B13" s="9" t="s">
        <v>132</v>
      </c>
      <c r="C13" s="7" t="n">
        <v>150</v>
      </c>
      <c r="D13" s="7" t="n">
        <v>300</v>
      </c>
      <c r="E13" s="11"/>
      <c r="F13" s="7" t="str">
        <f aca="false">IF(E13="","",IF(E13&lt;=D13,"PASS","FAIL"))</f>
        <v/>
      </c>
      <c r="G13" s="11"/>
    </row>
    <row r="14" customFormat="false" ht="15" hidden="false" customHeight="false" outlineLevel="0" collapsed="false">
      <c r="A14" s="8" t="s">
        <v>133</v>
      </c>
      <c r="B14" s="9" t="s">
        <v>134</v>
      </c>
      <c r="C14" s="7" t="n">
        <v>150</v>
      </c>
      <c r="D14" s="7" t="n">
        <v>300</v>
      </c>
      <c r="E14" s="11"/>
      <c r="F14" s="7" t="str">
        <f aca="false">IF(E14="","",IF(E14&lt;=D14,"PASS","FAIL"))</f>
        <v/>
      </c>
      <c r="G14" s="11"/>
    </row>
    <row r="15" customFormat="false" ht="15" hidden="false" customHeight="false" outlineLevel="0" collapsed="false">
      <c r="A15" s="8" t="s">
        <v>135</v>
      </c>
      <c r="B15" s="9" t="s">
        <v>136</v>
      </c>
      <c r="C15" s="13"/>
      <c r="D15" s="7" t="s">
        <v>88</v>
      </c>
      <c r="E15" s="11"/>
      <c r="F15" s="11"/>
      <c r="G15" s="11"/>
    </row>
    <row r="16" customFormat="false" ht="15" hidden="false" customHeight="false" outlineLevel="0" collapsed="false">
      <c r="A16" s="8" t="s">
        <v>137</v>
      </c>
      <c r="B16" s="9" t="s">
        <v>138</v>
      </c>
      <c r="C16" s="13"/>
      <c r="D16" s="7" t="s">
        <v>88</v>
      </c>
      <c r="E16" s="11"/>
      <c r="F16" s="11"/>
      <c r="G16" s="11"/>
    </row>
    <row r="17" customFormat="false" ht="15" hidden="false" customHeight="false" outlineLevel="0" collapsed="false">
      <c r="A17" s="8" t="s">
        <v>139</v>
      </c>
      <c r="B17" s="9" t="s">
        <v>140</v>
      </c>
      <c r="C17" s="7" t="n">
        <v>700</v>
      </c>
      <c r="D17" s="7" t="n">
        <v>1000</v>
      </c>
      <c r="E17" s="11"/>
      <c r="F17" s="7" t="str">
        <f aca="false">IF(E17="","",IF(E17&lt;=D17,"PASS","FAIL"))</f>
        <v/>
      </c>
      <c r="G17" s="11"/>
    </row>
    <row r="18" customFormat="false" ht="15" hidden="false" customHeight="false" outlineLevel="0" collapsed="false">
      <c r="A18" s="8" t="s">
        <v>141</v>
      </c>
      <c r="B18" s="9" t="s">
        <v>142</v>
      </c>
      <c r="C18" s="13"/>
      <c r="D18" s="7" t="s">
        <v>88</v>
      </c>
      <c r="E18" s="11"/>
      <c r="F18" s="11"/>
      <c r="G18" s="11"/>
    </row>
    <row r="19" customFormat="false" ht="15" hidden="false" customHeight="false" outlineLevel="0" collapsed="false">
      <c r="A19" s="15" t="s">
        <v>143</v>
      </c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8" t="s">
        <v>117</v>
      </c>
      <c r="B20" s="9" t="s">
        <v>118</v>
      </c>
      <c r="C20" s="7" t="n">
        <v>100</v>
      </c>
      <c r="D20" s="7" t="n">
        <v>500</v>
      </c>
      <c r="E20" s="11"/>
      <c r="F20" s="7" t="str">
        <f aca="false">IF(E20="","",IF(E20&lt;=D20,"PASS","FAIL"))</f>
        <v/>
      </c>
      <c r="G20" s="11"/>
    </row>
    <row r="21" customFormat="false" ht="15" hidden="false" customHeight="false" outlineLevel="0" collapsed="false">
      <c r="A21" s="8" t="s">
        <v>119</v>
      </c>
      <c r="B21" s="9" t="s">
        <v>120</v>
      </c>
      <c r="C21" s="7" t="n">
        <v>500</v>
      </c>
      <c r="D21" s="7" t="n">
        <v>1000</v>
      </c>
      <c r="E21" s="11"/>
      <c r="F21" s="7" t="str">
        <f aca="false">IF(E21="","",IF(E21&lt;=D21,"PASS","FAIL"))</f>
        <v/>
      </c>
      <c r="G21" s="11"/>
    </row>
    <row r="22" customFormat="false" ht="15" hidden="false" customHeight="false" outlineLevel="0" collapsed="false">
      <c r="A22" s="8" t="s">
        <v>121</v>
      </c>
      <c r="B22" s="9" t="s">
        <v>122</v>
      </c>
      <c r="C22" s="7" t="n">
        <v>100</v>
      </c>
      <c r="D22" s="7" t="n">
        <v>500</v>
      </c>
      <c r="E22" s="11"/>
      <c r="F22" s="7" t="str">
        <f aca="false">IF(E22="","",IF(E22&lt;=D22,"PASS","FAIL"))</f>
        <v/>
      </c>
      <c r="G22" s="11"/>
    </row>
    <row r="23" customFormat="false" ht="15" hidden="false" customHeight="false" outlineLevel="0" collapsed="false">
      <c r="A23" s="8" t="s">
        <v>123</v>
      </c>
      <c r="B23" s="9" t="s">
        <v>124</v>
      </c>
      <c r="C23" s="7" t="n">
        <v>100</v>
      </c>
      <c r="D23" s="7" t="n">
        <v>500</v>
      </c>
      <c r="E23" s="11"/>
      <c r="F23" s="7" t="str">
        <f aca="false">IF(E23="","",IF(E23&lt;=D23,"PASS","FAIL"))</f>
        <v/>
      </c>
      <c r="G23" s="11"/>
    </row>
    <row r="24" customFormat="false" ht="15" hidden="false" customHeight="false" outlineLevel="0" collapsed="false">
      <c r="A24" s="8" t="s">
        <v>125</v>
      </c>
      <c r="B24" s="9" t="s">
        <v>126</v>
      </c>
      <c r="C24" s="7" t="n">
        <v>100</v>
      </c>
      <c r="D24" s="7" t="n">
        <v>500</v>
      </c>
      <c r="E24" s="11"/>
      <c r="F24" s="7" t="str">
        <f aca="false">IF(E24="","",IF(E24&lt;=D24,"PASS","FAIL"))</f>
        <v/>
      </c>
      <c r="G24" s="11"/>
    </row>
    <row r="25" customFormat="false" ht="15" hidden="false" customHeight="false" outlineLevel="0" collapsed="false">
      <c r="A25" s="8" t="s">
        <v>127</v>
      </c>
      <c r="B25" s="9" t="s">
        <v>128</v>
      </c>
      <c r="C25" s="7" t="n">
        <v>100</v>
      </c>
      <c r="D25" s="7" t="n">
        <v>500</v>
      </c>
      <c r="E25" s="11"/>
      <c r="F25" s="7" t="str">
        <f aca="false">IF(E25="","",IF(E25&lt;=D25,"PASS","FAIL"))</f>
        <v/>
      </c>
      <c r="G25" s="11"/>
    </row>
    <row r="26" customFormat="false" ht="15" hidden="false" customHeight="false" outlineLevel="0" collapsed="false">
      <c r="A26" s="8" t="s">
        <v>129</v>
      </c>
      <c r="B26" s="9" t="s">
        <v>130</v>
      </c>
      <c r="C26" s="7" t="n">
        <v>150</v>
      </c>
      <c r="D26" s="7" t="n">
        <v>300</v>
      </c>
      <c r="E26" s="11"/>
      <c r="F26" s="7" t="str">
        <f aca="false">IF(E26="","",IF(E26&lt;=D26,"PASS","FAIL"))</f>
        <v/>
      </c>
      <c r="G26" s="11"/>
    </row>
    <row r="27" customFormat="false" ht="15" hidden="false" customHeight="false" outlineLevel="0" collapsed="false">
      <c r="A27" s="8" t="s">
        <v>131</v>
      </c>
      <c r="B27" s="9" t="s">
        <v>132</v>
      </c>
      <c r="C27" s="7" t="n">
        <v>150</v>
      </c>
      <c r="D27" s="7" t="n">
        <v>300</v>
      </c>
      <c r="E27" s="11"/>
      <c r="F27" s="7" t="str">
        <f aca="false">IF(E27="","",IF(E27&lt;=D27,"PASS","FAIL"))</f>
        <v/>
      </c>
      <c r="G27" s="11"/>
    </row>
    <row r="28" customFormat="false" ht="15" hidden="false" customHeight="false" outlineLevel="0" collapsed="false">
      <c r="A28" s="8" t="s">
        <v>133</v>
      </c>
      <c r="B28" s="9" t="s">
        <v>134</v>
      </c>
      <c r="C28" s="7" t="n">
        <v>150</v>
      </c>
      <c r="D28" s="7" t="n">
        <v>300</v>
      </c>
      <c r="E28" s="11"/>
      <c r="F28" s="7" t="str">
        <f aca="false">IF(E28="","",IF(E28&lt;=D28,"PASS","FAIL"))</f>
        <v/>
      </c>
      <c r="G28" s="11"/>
    </row>
    <row r="29" customFormat="false" ht="15" hidden="false" customHeight="false" outlineLevel="0" collapsed="false">
      <c r="A29" s="8" t="s">
        <v>135</v>
      </c>
      <c r="B29" s="9" t="s">
        <v>136</v>
      </c>
      <c r="C29" s="13"/>
      <c r="D29" s="7" t="s">
        <v>88</v>
      </c>
      <c r="E29" s="11"/>
      <c r="F29" s="11"/>
      <c r="G29" s="11"/>
    </row>
    <row r="30" customFormat="false" ht="15" hidden="false" customHeight="false" outlineLevel="0" collapsed="false">
      <c r="A30" s="8" t="s">
        <v>137</v>
      </c>
      <c r="B30" s="9" t="s">
        <v>138</v>
      </c>
      <c r="C30" s="13"/>
      <c r="D30" s="7" t="s">
        <v>88</v>
      </c>
      <c r="E30" s="11"/>
      <c r="F30" s="11"/>
      <c r="G30" s="11"/>
    </row>
    <row r="31" customFormat="false" ht="15" hidden="false" customHeight="false" outlineLevel="0" collapsed="false">
      <c r="A31" s="8" t="s">
        <v>139</v>
      </c>
      <c r="B31" s="9" t="s">
        <v>140</v>
      </c>
      <c r="C31" s="7" t="n">
        <v>700</v>
      </c>
      <c r="D31" s="7" t="n">
        <v>1000</v>
      </c>
      <c r="E31" s="11"/>
      <c r="F31" s="7" t="str">
        <f aca="false">IF(E31="","",IF(E31&lt;=D31,"PASS","FAIL"))</f>
        <v/>
      </c>
      <c r="G31" s="11"/>
    </row>
    <row r="32" customFormat="false" ht="15" hidden="false" customHeight="false" outlineLevel="0" collapsed="false">
      <c r="A32" s="8" t="s">
        <v>141</v>
      </c>
      <c r="B32" s="9" t="s">
        <v>142</v>
      </c>
      <c r="C32" s="13"/>
      <c r="D32" s="7" t="s">
        <v>88</v>
      </c>
      <c r="E32" s="11"/>
      <c r="F32" s="11"/>
      <c r="G32" s="11"/>
    </row>
    <row r="33" customFormat="false" ht="15" hidden="false" customHeight="false" outlineLevel="0" collapsed="false">
      <c r="A33" s="15" t="s">
        <v>144</v>
      </c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8" t="s">
        <v>117</v>
      </c>
      <c r="B34" s="9" t="s">
        <v>118</v>
      </c>
      <c r="C34" s="7" t="n">
        <v>100</v>
      </c>
      <c r="D34" s="7" t="n">
        <v>500</v>
      </c>
      <c r="E34" s="11"/>
      <c r="F34" s="7" t="str">
        <f aca="false">IF(E34="","",IF(E34&lt;=D34,"PASS","FAIL"))</f>
        <v/>
      </c>
      <c r="G34" s="11"/>
    </row>
    <row r="35" customFormat="false" ht="15" hidden="false" customHeight="false" outlineLevel="0" collapsed="false">
      <c r="A35" s="8" t="s">
        <v>119</v>
      </c>
      <c r="B35" s="9" t="s">
        <v>120</v>
      </c>
      <c r="C35" s="7" t="n">
        <v>500</v>
      </c>
      <c r="D35" s="7" t="n">
        <v>1000</v>
      </c>
      <c r="E35" s="11"/>
      <c r="F35" s="7" t="str">
        <f aca="false">IF(E35="","",IF(E35&lt;=D35,"PASS","FAIL"))</f>
        <v/>
      </c>
      <c r="G35" s="11"/>
    </row>
    <row r="36" customFormat="false" ht="15" hidden="false" customHeight="false" outlineLevel="0" collapsed="false">
      <c r="A36" s="8" t="s">
        <v>121</v>
      </c>
      <c r="B36" s="9" t="s">
        <v>122</v>
      </c>
      <c r="C36" s="7" t="n">
        <v>100</v>
      </c>
      <c r="D36" s="7" t="n">
        <v>500</v>
      </c>
      <c r="E36" s="11"/>
      <c r="F36" s="7" t="str">
        <f aca="false">IF(E36="","",IF(E36&lt;=D36,"PASS","FAIL"))</f>
        <v/>
      </c>
      <c r="G36" s="11"/>
    </row>
    <row r="37" customFormat="false" ht="15" hidden="false" customHeight="false" outlineLevel="0" collapsed="false">
      <c r="A37" s="8" t="s">
        <v>123</v>
      </c>
      <c r="B37" s="9" t="s">
        <v>124</v>
      </c>
      <c r="C37" s="7" t="n">
        <v>100</v>
      </c>
      <c r="D37" s="7" t="n">
        <v>500</v>
      </c>
      <c r="E37" s="11"/>
      <c r="F37" s="7" t="str">
        <f aca="false">IF(E37="","",IF(E37&lt;=D37,"PASS","FAIL"))</f>
        <v/>
      </c>
      <c r="G37" s="11"/>
    </row>
    <row r="38" customFormat="false" ht="15" hidden="false" customHeight="false" outlineLevel="0" collapsed="false">
      <c r="A38" s="8" t="s">
        <v>125</v>
      </c>
      <c r="B38" s="9" t="s">
        <v>126</v>
      </c>
      <c r="C38" s="7" t="n">
        <v>100</v>
      </c>
      <c r="D38" s="7" t="n">
        <v>500</v>
      </c>
      <c r="E38" s="11"/>
      <c r="F38" s="7" t="str">
        <f aca="false">IF(E38="","",IF(E38&lt;=D38,"PASS","FAIL"))</f>
        <v/>
      </c>
      <c r="G38" s="11"/>
    </row>
    <row r="39" customFormat="false" ht="15" hidden="false" customHeight="false" outlineLevel="0" collapsed="false">
      <c r="A39" s="8" t="s">
        <v>127</v>
      </c>
      <c r="B39" s="9" t="s">
        <v>128</v>
      </c>
      <c r="C39" s="7" t="n">
        <v>100</v>
      </c>
      <c r="D39" s="7" t="n">
        <v>500</v>
      </c>
      <c r="E39" s="11"/>
      <c r="F39" s="7" t="str">
        <f aca="false">IF(E39="","",IF(E39&lt;=D39,"PASS","FAIL"))</f>
        <v/>
      </c>
      <c r="G39" s="11"/>
    </row>
    <row r="40" customFormat="false" ht="15" hidden="false" customHeight="false" outlineLevel="0" collapsed="false">
      <c r="A40" s="8" t="s">
        <v>129</v>
      </c>
      <c r="B40" s="9" t="s">
        <v>130</v>
      </c>
      <c r="C40" s="7" t="n">
        <v>150</v>
      </c>
      <c r="D40" s="7" t="n">
        <v>300</v>
      </c>
      <c r="E40" s="11"/>
      <c r="F40" s="7" t="str">
        <f aca="false">IF(E40="","",IF(E40&lt;=D40,"PASS","FAIL"))</f>
        <v/>
      </c>
      <c r="G40" s="11"/>
    </row>
    <row r="41" customFormat="false" ht="15" hidden="false" customHeight="false" outlineLevel="0" collapsed="false">
      <c r="A41" s="8" t="s">
        <v>131</v>
      </c>
      <c r="B41" s="9" t="s">
        <v>132</v>
      </c>
      <c r="C41" s="7" t="n">
        <v>150</v>
      </c>
      <c r="D41" s="7" t="n">
        <v>300</v>
      </c>
      <c r="E41" s="11"/>
      <c r="F41" s="7" t="str">
        <f aca="false">IF(E41="","",IF(E41&lt;=D41,"PASS","FAIL"))</f>
        <v/>
      </c>
      <c r="G41" s="11"/>
    </row>
    <row r="42" customFormat="false" ht="15" hidden="false" customHeight="false" outlineLevel="0" collapsed="false">
      <c r="A42" s="8" t="s">
        <v>133</v>
      </c>
      <c r="B42" s="9" t="s">
        <v>134</v>
      </c>
      <c r="C42" s="7" t="n">
        <v>150</v>
      </c>
      <c r="D42" s="7" t="n">
        <v>300</v>
      </c>
      <c r="E42" s="11"/>
      <c r="F42" s="7" t="str">
        <f aca="false">IF(E42="","",IF(E42&lt;=D42,"PASS","FAIL"))</f>
        <v/>
      </c>
      <c r="G42" s="11"/>
    </row>
    <row r="43" customFormat="false" ht="15" hidden="false" customHeight="false" outlineLevel="0" collapsed="false">
      <c r="A43" s="8" t="s">
        <v>135</v>
      </c>
      <c r="B43" s="9" t="s">
        <v>136</v>
      </c>
      <c r="C43" s="13"/>
      <c r="D43" s="7" t="s">
        <v>88</v>
      </c>
      <c r="E43" s="11"/>
      <c r="F43" s="11"/>
      <c r="G43" s="11"/>
    </row>
    <row r="44" customFormat="false" ht="15" hidden="false" customHeight="false" outlineLevel="0" collapsed="false">
      <c r="A44" s="8" t="s">
        <v>137</v>
      </c>
      <c r="B44" s="9" t="s">
        <v>138</v>
      </c>
      <c r="C44" s="13"/>
      <c r="D44" s="7" t="s">
        <v>88</v>
      </c>
      <c r="E44" s="11"/>
      <c r="F44" s="11"/>
      <c r="G44" s="11"/>
    </row>
    <row r="45" customFormat="false" ht="15" hidden="false" customHeight="false" outlineLevel="0" collapsed="false">
      <c r="A45" s="8" t="s">
        <v>139</v>
      </c>
      <c r="B45" s="9" t="s">
        <v>140</v>
      </c>
      <c r="C45" s="7" t="n">
        <v>700</v>
      </c>
      <c r="D45" s="7" t="n">
        <v>1000</v>
      </c>
      <c r="E45" s="11"/>
      <c r="F45" s="7" t="str">
        <f aca="false">IF(E45="","",IF(E45&lt;=D45,"PASS","FAIL"))</f>
        <v/>
      </c>
      <c r="G45" s="11"/>
    </row>
    <row r="46" customFormat="false" ht="15" hidden="false" customHeight="false" outlineLevel="0" collapsed="false">
      <c r="A46" s="8" t="s">
        <v>141</v>
      </c>
      <c r="B46" s="9" t="s">
        <v>142</v>
      </c>
      <c r="C46" s="13"/>
      <c r="D46" s="7" t="s">
        <v>88</v>
      </c>
      <c r="E46" s="11"/>
      <c r="F46" s="11"/>
      <c r="G46" s="11"/>
    </row>
    <row r="47" customFormat="false" ht="15" hidden="false" customHeight="false" outlineLevel="0" collapsed="false">
      <c r="A47" s="15" t="s">
        <v>145</v>
      </c>
      <c r="B47" s="15"/>
      <c r="C47" s="15"/>
      <c r="D47" s="15"/>
      <c r="E47" s="15"/>
      <c r="F47" s="15"/>
      <c r="G47" s="15"/>
    </row>
    <row r="48" customFormat="false" ht="15" hidden="false" customHeight="false" outlineLevel="0" collapsed="false">
      <c r="A48" s="8" t="s">
        <v>117</v>
      </c>
      <c r="B48" s="9" t="s">
        <v>118</v>
      </c>
      <c r="C48" s="7" t="n">
        <v>100</v>
      </c>
      <c r="D48" s="7" t="n">
        <v>500</v>
      </c>
      <c r="E48" s="11"/>
      <c r="F48" s="7" t="str">
        <f aca="false">IF(E48="","",IF(E48&lt;=D48,"PASS","FAIL"))</f>
        <v/>
      </c>
      <c r="G48" s="11"/>
    </row>
    <row r="49" customFormat="false" ht="15" hidden="false" customHeight="false" outlineLevel="0" collapsed="false">
      <c r="A49" s="8" t="s">
        <v>119</v>
      </c>
      <c r="B49" s="9" t="s">
        <v>120</v>
      </c>
      <c r="C49" s="7" t="n">
        <v>500</v>
      </c>
      <c r="D49" s="7" t="n">
        <v>1000</v>
      </c>
      <c r="E49" s="11"/>
      <c r="F49" s="7" t="str">
        <f aca="false">IF(E49="","",IF(E49&lt;=D49,"PASS","FAIL"))</f>
        <v/>
      </c>
      <c r="G49" s="11"/>
    </row>
    <row r="50" customFormat="false" ht="15" hidden="false" customHeight="false" outlineLevel="0" collapsed="false">
      <c r="A50" s="8" t="s">
        <v>121</v>
      </c>
      <c r="B50" s="9" t="s">
        <v>122</v>
      </c>
      <c r="C50" s="7" t="n">
        <v>100</v>
      </c>
      <c r="D50" s="7" t="n">
        <v>500</v>
      </c>
      <c r="E50" s="11"/>
      <c r="F50" s="7" t="str">
        <f aca="false">IF(E50="","",IF(E50&lt;=D50,"PASS","FAIL"))</f>
        <v/>
      </c>
      <c r="G50" s="11"/>
    </row>
    <row r="51" customFormat="false" ht="15" hidden="false" customHeight="false" outlineLevel="0" collapsed="false">
      <c r="A51" s="8" t="s">
        <v>123</v>
      </c>
      <c r="B51" s="9" t="s">
        <v>124</v>
      </c>
      <c r="C51" s="7" t="n">
        <v>100</v>
      </c>
      <c r="D51" s="7" t="n">
        <v>500</v>
      </c>
      <c r="E51" s="11"/>
      <c r="F51" s="7" t="str">
        <f aca="false">IF(E51="","",IF(E51&lt;=D51,"PASS","FAIL"))</f>
        <v/>
      </c>
      <c r="G51" s="11"/>
    </row>
    <row r="52" customFormat="false" ht="15" hidden="false" customHeight="false" outlineLevel="0" collapsed="false">
      <c r="A52" s="8" t="s">
        <v>125</v>
      </c>
      <c r="B52" s="9" t="s">
        <v>126</v>
      </c>
      <c r="C52" s="7" t="n">
        <v>100</v>
      </c>
      <c r="D52" s="7" t="n">
        <v>500</v>
      </c>
      <c r="E52" s="11"/>
      <c r="F52" s="7" t="str">
        <f aca="false">IF(E52="","",IF(E52&lt;=D52,"PASS","FAIL"))</f>
        <v/>
      </c>
      <c r="G52" s="11"/>
    </row>
    <row r="53" customFormat="false" ht="15" hidden="false" customHeight="false" outlineLevel="0" collapsed="false">
      <c r="A53" s="8" t="s">
        <v>127</v>
      </c>
      <c r="B53" s="9" t="s">
        <v>128</v>
      </c>
      <c r="C53" s="7" t="n">
        <v>100</v>
      </c>
      <c r="D53" s="7" t="n">
        <v>500</v>
      </c>
      <c r="E53" s="11"/>
      <c r="F53" s="7" t="str">
        <f aca="false">IF(E53="","",IF(E53&lt;=D53,"PASS","FAIL"))</f>
        <v/>
      </c>
      <c r="G53" s="11"/>
    </row>
    <row r="54" customFormat="false" ht="15" hidden="false" customHeight="false" outlineLevel="0" collapsed="false">
      <c r="A54" s="8" t="s">
        <v>129</v>
      </c>
      <c r="B54" s="9" t="s">
        <v>130</v>
      </c>
      <c r="C54" s="7" t="n">
        <v>150</v>
      </c>
      <c r="D54" s="7" t="n">
        <v>300</v>
      </c>
      <c r="E54" s="11"/>
      <c r="F54" s="7" t="str">
        <f aca="false">IF(E54="","",IF(E54&lt;=D54,"PASS","FAIL"))</f>
        <v/>
      </c>
      <c r="G54" s="11"/>
    </row>
    <row r="55" customFormat="false" ht="15" hidden="false" customHeight="false" outlineLevel="0" collapsed="false">
      <c r="A55" s="8" t="s">
        <v>131</v>
      </c>
      <c r="B55" s="9" t="s">
        <v>132</v>
      </c>
      <c r="C55" s="7" t="n">
        <v>150</v>
      </c>
      <c r="D55" s="7" t="n">
        <v>300</v>
      </c>
      <c r="E55" s="11"/>
      <c r="F55" s="7" t="str">
        <f aca="false">IF(E55="","",IF(E55&lt;=D55,"PASS","FAIL"))</f>
        <v/>
      </c>
      <c r="G55" s="11"/>
    </row>
    <row r="56" customFormat="false" ht="15" hidden="false" customHeight="false" outlineLevel="0" collapsed="false">
      <c r="A56" s="8" t="s">
        <v>133</v>
      </c>
      <c r="B56" s="9" t="s">
        <v>134</v>
      </c>
      <c r="C56" s="7" t="n">
        <v>150</v>
      </c>
      <c r="D56" s="7" t="n">
        <v>300</v>
      </c>
      <c r="E56" s="11"/>
      <c r="F56" s="7" t="str">
        <f aca="false">IF(E56="","",IF(E56&lt;=D56,"PASS","FAIL"))</f>
        <v/>
      </c>
      <c r="G56" s="11"/>
    </row>
    <row r="57" customFormat="false" ht="15" hidden="false" customHeight="false" outlineLevel="0" collapsed="false">
      <c r="A57" s="8" t="s">
        <v>135</v>
      </c>
      <c r="B57" s="9" t="s">
        <v>136</v>
      </c>
      <c r="C57" s="13"/>
      <c r="D57" s="7" t="s">
        <v>88</v>
      </c>
      <c r="E57" s="11"/>
      <c r="F57" s="11"/>
      <c r="G57" s="11"/>
    </row>
    <row r="58" customFormat="false" ht="15" hidden="false" customHeight="false" outlineLevel="0" collapsed="false">
      <c r="A58" s="8" t="s">
        <v>137</v>
      </c>
      <c r="B58" s="9" t="s">
        <v>138</v>
      </c>
      <c r="C58" s="13"/>
      <c r="D58" s="7" t="s">
        <v>88</v>
      </c>
      <c r="E58" s="11"/>
      <c r="F58" s="11"/>
      <c r="G58" s="11"/>
    </row>
    <row r="59" customFormat="false" ht="15" hidden="false" customHeight="false" outlineLevel="0" collapsed="false">
      <c r="A59" s="8" t="s">
        <v>139</v>
      </c>
      <c r="B59" s="9" t="s">
        <v>140</v>
      </c>
      <c r="C59" s="7" t="n">
        <v>700</v>
      </c>
      <c r="D59" s="7" t="n">
        <v>1000</v>
      </c>
      <c r="E59" s="11"/>
      <c r="F59" s="7" t="str">
        <f aca="false">IF(E59="","",IF(E59&lt;=D59,"PASS","FAIL"))</f>
        <v/>
      </c>
      <c r="G59" s="11"/>
    </row>
    <row r="60" customFormat="false" ht="15" hidden="false" customHeight="false" outlineLevel="0" collapsed="false">
      <c r="A60" s="8" t="s">
        <v>141</v>
      </c>
      <c r="B60" s="9" t="s">
        <v>142</v>
      </c>
      <c r="C60" s="13"/>
      <c r="D60" s="7" t="s">
        <v>88</v>
      </c>
      <c r="E60" s="11"/>
      <c r="F60" s="11"/>
      <c r="G60" s="11"/>
    </row>
    <row r="61" customFormat="false" ht="15" hidden="false" customHeight="false" outlineLevel="0" collapsed="false">
      <c r="A61" s="15" t="s">
        <v>146</v>
      </c>
      <c r="B61" s="15"/>
      <c r="C61" s="15"/>
      <c r="D61" s="15"/>
      <c r="E61" s="15"/>
      <c r="F61" s="15"/>
      <c r="G61" s="15"/>
    </row>
    <row r="62" customFormat="false" ht="15" hidden="false" customHeight="false" outlineLevel="0" collapsed="false">
      <c r="A62" s="8" t="s">
        <v>117</v>
      </c>
      <c r="B62" s="9" t="s">
        <v>118</v>
      </c>
      <c r="C62" s="7" t="n">
        <v>100</v>
      </c>
      <c r="D62" s="7" t="n">
        <v>500</v>
      </c>
      <c r="E62" s="11"/>
      <c r="F62" s="7" t="str">
        <f aca="false">IF(E62="","",IF(E62&lt;=D62,"PASS","FAIL"))</f>
        <v/>
      </c>
      <c r="G62" s="11"/>
    </row>
    <row r="63" customFormat="false" ht="15" hidden="false" customHeight="false" outlineLevel="0" collapsed="false">
      <c r="A63" s="8" t="s">
        <v>119</v>
      </c>
      <c r="B63" s="9" t="s">
        <v>120</v>
      </c>
      <c r="C63" s="7" t="n">
        <v>500</v>
      </c>
      <c r="D63" s="7" t="n">
        <v>1000</v>
      </c>
      <c r="E63" s="11"/>
      <c r="F63" s="7" t="str">
        <f aca="false">IF(E63="","",IF(E63&lt;=D63,"PASS","FAIL"))</f>
        <v/>
      </c>
      <c r="G63" s="11"/>
    </row>
    <row r="64" customFormat="false" ht="15" hidden="false" customHeight="false" outlineLevel="0" collapsed="false">
      <c r="A64" s="8" t="s">
        <v>121</v>
      </c>
      <c r="B64" s="9" t="s">
        <v>122</v>
      </c>
      <c r="C64" s="7" t="n">
        <v>100</v>
      </c>
      <c r="D64" s="7" t="n">
        <v>500</v>
      </c>
      <c r="E64" s="11"/>
      <c r="F64" s="7" t="str">
        <f aca="false">IF(E64="","",IF(E64&lt;=D64,"PASS","FAIL"))</f>
        <v/>
      </c>
      <c r="G64" s="11"/>
    </row>
    <row r="65" customFormat="false" ht="15" hidden="false" customHeight="false" outlineLevel="0" collapsed="false">
      <c r="A65" s="8" t="s">
        <v>123</v>
      </c>
      <c r="B65" s="9" t="s">
        <v>124</v>
      </c>
      <c r="C65" s="7" t="n">
        <v>100</v>
      </c>
      <c r="D65" s="7" t="n">
        <v>500</v>
      </c>
      <c r="E65" s="11"/>
      <c r="F65" s="7" t="str">
        <f aca="false">IF(E65="","",IF(E65&lt;=D65,"PASS","FAIL"))</f>
        <v/>
      </c>
      <c r="G65" s="11"/>
    </row>
    <row r="66" customFormat="false" ht="15" hidden="false" customHeight="false" outlineLevel="0" collapsed="false">
      <c r="A66" s="8" t="s">
        <v>125</v>
      </c>
      <c r="B66" s="9" t="s">
        <v>126</v>
      </c>
      <c r="C66" s="7" t="n">
        <v>100</v>
      </c>
      <c r="D66" s="7" t="n">
        <v>500</v>
      </c>
      <c r="E66" s="11"/>
      <c r="F66" s="7" t="str">
        <f aca="false">IF(E66="","",IF(E66&lt;=D66,"PASS","FAIL"))</f>
        <v/>
      </c>
      <c r="G66" s="11"/>
    </row>
    <row r="67" customFormat="false" ht="15" hidden="false" customHeight="false" outlineLevel="0" collapsed="false">
      <c r="A67" s="8" t="s">
        <v>127</v>
      </c>
      <c r="B67" s="9" t="s">
        <v>128</v>
      </c>
      <c r="C67" s="7" t="n">
        <v>100</v>
      </c>
      <c r="D67" s="7" t="n">
        <v>500</v>
      </c>
      <c r="E67" s="11"/>
      <c r="F67" s="7" t="str">
        <f aca="false">IF(E67="","",IF(E67&lt;=D67,"PASS","FAIL"))</f>
        <v/>
      </c>
      <c r="G67" s="11"/>
    </row>
    <row r="68" customFormat="false" ht="15" hidden="false" customHeight="false" outlineLevel="0" collapsed="false">
      <c r="A68" s="8" t="s">
        <v>129</v>
      </c>
      <c r="B68" s="9" t="s">
        <v>130</v>
      </c>
      <c r="C68" s="7" t="n">
        <v>150</v>
      </c>
      <c r="D68" s="7" t="n">
        <v>300</v>
      </c>
      <c r="E68" s="11"/>
      <c r="F68" s="7" t="str">
        <f aca="false">IF(E68="","",IF(E68&lt;=D68,"PASS","FAIL"))</f>
        <v/>
      </c>
      <c r="G68" s="11"/>
    </row>
    <row r="69" customFormat="false" ht="15" hidden="false" customHeight="false" outlineLevel="0" collapsed="false">
      <c r="A69" s="8" t="s">
        <v>131</v>
      </c>
      <c r="B69" s="9" t="s">
        <v>132</v>
      </c>
      <c r="C69" s="7" t="n">
        <v>150</v>
      </c>
      <c r="D69" s="7" t="n">
        <v>300</v>
      </c>
      <c r="E69" s="11"/>
      <c r="F69" s="7" t="str">
        <f aca="false">IF(E69="","",IF(E69&lt;=D69,"PASS","FAIL"))</f>
        <v/>
      </c>
      <c r="G69" s="11"/>
    </row>
    <row r="70" customFormat="false" ht="15" hidden="false" customHeight="false" outlineLevel="0" collapsed="false">
      <c r="A70" s="8" t="s">
        <v>133</v>
      </c>
      <c r="B70" s="9" t="s">
        <v>134</v>
      </c>
      <c r="C70" s="7" t="n">
        <v>150</v>
      </c>
      <c r="D70" s="7" t="n">
        <v>300</v>
      </c>
      <c r="E70" s="11"/>
      <c r="F70" s="7" t="str">
        <f aca="false">IF(E70="","",IF(E70&lt;=D70,"PASS","FAIL"))</f>
        <v/>
      </c>
      <c r="G70" s="11"/>
    </row>
    <row r="71" customFormat="false" ht="15" hidden="false" customHeight="false" outlineLevel="0" collapsed="false">
      <c r="A71" s="8" t="s">
        <v>135</v>
      </c>
      <c r="B71" s="9" t="s">
        <v>136</v>
      </c>
      <c r="C71" s="13"/>
      <c r="D71" s="7" t="s">
        <v>88</v>
      </c>
      <c r="E71" s="11"/>
      <c r="F71" s="11"/>
      <c r="G71" s="11"/>
    </row>
    <row r="72" customFormat="false" ht="15" hidden="false" customHeight="false" outlineLevel="0" collapsed="false">
      <c r="A72" s="8" t="s">
        <v>137</v>
      </c>
      <c r="B72" s="9" t="s">
        <v>138</v>
      </c>
      <c r="C72" s="13"/>
      <c r="D72" s="7" t="s">
        <v>88</v>
      </c>
      <c r="E72" s="11"/>
      <c r="F72" s="11"/>
      <c r="G72" s="11"/>
    </row>
    <row r="73" customFormat="false" ht="15" hidden="false" customHeight="false" outlineLevel="0" collapsed="false">
      <c r="A73" s="8" t="s">
        <v>139</v>
      </c>
      <c r="B73" s="9" t="s">
        <v>140</v>
      </c>
      <c r="C73" s="7" t="n">
        <v>700</v>
      </c>
      <c r="D73" s="7" t="n">
        <v>1000</v>
      </c>
      <c r="E73" s="11"/>
      <c r="F73" s="7" t="str">
        <f aca="false">IF(E73="","",IF(E73&lt;=D73,"PASS","FAIL"))</f>
        <v/>
      </c>
      <c r="G73" s="11"/>
    </row>
    <row r="74" customFormat="false" ht="15" hidden="false" customHeight="false" outlineLevel="0" collapsed="false">
      <c r="A74" s="8" t="s">
        <v>141</v>
      </c>
      <c r="B74" s="9" t="s">
        <v>142</v>
      </c>
      <c r="C74" s="13"/>
      <c r="D74" s="7" t="s">
        <v>88</v>
      </c>
      <c r="E74" s="11"/>
      <c r="F74" s="11"/>
      <c r="G74" s="11"/>
    </row>
    <row r="75" customFormat="false" ht="15" hidden="false" customHeight="false" outlineLevel="0" collapsed="false">
      <c r="A75" s="15" t="s">
        <v>147</v>
      </c>
      <c r="B75" s="15"/>
      <c r="C75" s="15"/>
      <c r="D75" s="15"/>
      <c r="E75" s="15"/>
      <c r="F75" s="15"/>
      <c r="G75" s="15"/>
    </row>
    <row r="76" customFormat="false" ht="15" hidden="false" customHeight="false" outlineLevel="0" collapsed="false">
      <c r="A76" s="8" t="s">
        <v>117</v>
      </c>
      <c r="B76" s="9" t="s">
        <v>118</v>
      </c>
      <c r="C76" s="7" t="n">
        <v>100</v>
      </c>
      <c r="D76" s="7" t="n">
        <v>500</v>
      </c>
      <c r="E76" s="11"/>
      <c r="F76" s="7" t="str">
        <f aca="false">IF(E76="","",IF(E76&lt;=D76,"PASS","FAIL"))</f>
        <v/>
      </c>
      <c r="G76" s="11"/>
    </row>
    <row r="77" customFormat="false" ht="15" hidden="false" customHeight="false" outlineLevel="0" collapsed="false">
      <c r="A77" s="8" t="s">
        <v>119</v>
      </c>
      <c r="B77" s="9" t="s">
        <v>120</v>
      </c>
      <c r="C77" s="7" t="n">
        <v>500</v>
      </c>
      <c r="D77" s="7" t="n">
        <v>1000</v>
      </c>
      <c r="E77" s="11"/>
      <c r="F77" s="7" t="str">
        <f aca="false">IF(E77="","",IF(E77&lt;=D77,"PASS","FAIL"))</f>
        <v/>
      </c>
      <c r="G77" s="11"/>
    </row>
    <row r="78" customFormat="false" ht="15" hidden="false" customHeight="false" outlineLevel="0" collapsed="false">
      <c r="A78" s="8" t="s">
        <v>121</v>
      </c>
      <c r="B78" s="9" t="s">
        <v>122</v>
      </c>
      <c r="C78" s="7" t="n">
        <v>100</v>
      </c>
      <c r="D78" s="7" t="n">
        <v>500</v>
      </c>
      <c r="E78" s="11"/>
      <c r="F78" s="7" t="str">
        <f aca="false">IF(E78="","",IF(E78&lt;=D78,"PASS","FAIL"))</f>
        <v/>
      </c>
      <c r="G78" s="11"/>
    </row>
    <row r="79" customFormat="false" ht="15" hidden="false" customHeight="false" outlineLevel="0" collapsed="false">
      <c r="A79" s="8" t="s">
        <v>123</v>
      </c>
      <c r="B79" s="9" t="s">
        <v>124</v>
      </c>
      <c r="C79" s="7" t="n">
        <v>100</v>
      </c>
      <c r="D79" s="7" t="n">
        <v>500</v>
      </c>
      <c r="E79" s="11"/>
      <c r="F79" s="7" t="str">
        <f aca="false">IF(E79="","",IF(E79&lt;=D79,"PASS","FAIL"))</f>
        <v/>
      </c>
      <c r="G79" s="11"/>
    </row>
    <row r="80" customFormat="false" ht="15" hidden="false" customHeight="false" outlineLevel="0" collapsed="false">
      <c r="A80" s="8" t="s">
        <v>125</v>
      </c>
      <c r="B80" s="9" t="s">
        <v>126</v>
      </c>
      <c r="C80" s="7" t="n">
        <v>100</v>
      </c>
      <c r="D80" s="7" t="n">
        <v>500</v>
      </c>
      <c r="E80" s="11"/>
      <c r="F80" s="7" t="str">
        <f aca="false">IF(E80="","",IF(E80&lt;=D80,"PASS","FAIL"))</f>
        <v/>
      </c>
      <c r="G80" s="11"/>
    </row>
    <row r="81" customFormat="false" ht="15" hidden="false" customHeight="false" outlineLevel="0" collapsed="false">
      <c r="A81" s="8" t="s">
        <v>127</v>
      </c>
      <c r="B81" s="9" t="s">
        <v>128</v>
      </c>
      <c r="C81" s="7" t="n">
        <v>100</v>
      </c>
      <c r="D81" s="7" t="n">
        <v>500</v>
      </c>
      <c r="E81" s="11"/>
      <c r="F81" s="7" t="str">
        <f aca="false">IF(E81="","",IF(E81&lt;=D81,"PASS","FAIL"))</f>
        <v/>
      </c>
      <c r="G81" s="11"/>
    </row>
    <row r="82" customFormat="false" ht="15" hidden="false" customHeight="false" outlineLevel="0" collapsed="false">
      <c r="A82" s="8" t="s">
        <v>129</v>
      </c>
      <c r="B82" s="9" t="s">
        <v>130</v>
      </c>
      <c r="C82" s="7" t="n">
        <v>150</v>
      </c>
      <c r="D82" s="7" t="n">
        <v>300</v>
      </c>
      <c r="E82" s="11"/>
      <c r="F82" s="7" t="str">
        <f aca="false">IF(E82="","",IF(E82&lt;=D82,"PASS","FAIL"))</f>
        <v/>
      </c>
      <c r="G82" s="11"/>
    </row>
    <row r="83" customFormat="false" ht="15" hidden="false" customHeight="false" outlineLevel="0" collapsed="false">
      <c r="A83" s="8" t="s">
        <v>131</v>
      </c>
      <c r="B83" s="9" t="s">
        <v>132</v>
      </c>
      <c r="C83" s="7" t="n">
        <v>150</v>
      </c>
      <c r="D83" s="7" t="n">
        <v>300</v>
      </c>
      <c r="E83" s="11"/>
      <c r="F83" s="7" t="str">
        <f aca="false">IF(E83="","",IF(E83&lt;=D83,"PASS","FAIL"))</f>
        <v/>
      </c>
      <c r="G83" s="11"/>
    </row>
    <row r="84" customFormat="false" ht="15" hidden="false" customHeight="false" outlineLevel="0" collapsed="false">
      <c r="A84" s="8" t="s">
        <v>133</v>
      </c>
      <c r="B84" s="9" t="s">
        <v>134</v>
      </c>
      <c r="C84" s="7" t="n">
        <v>150</v>
      </c>
      <c r="D84" s="7" t="n">
        <v>300</v>
      </c>
      <c r="E84" s="11"/>
      <c r="F84" s="7" t="str">
        <f aca="false">IF(E84="","",IF(E84&lt;=D84,"PASS","FAIL"))</f>
        <v/>
      </c>
      <c r="G84" s="11"/>
    </row>
    <row r="85" customFormat="false" ht="15" hidden="false" customHeight="false" outlineLevel="0" collapsed="false">
      <c r="A85" s="8" t="s">
        <v>135</v>
      </c>
      <c r="B85" s="9" t="s">
        <v>136</v>
      </c>
      <c r="C85" s="13"/>
      <c r="D85" s="7" t="s">
        <v>88</v>
      </c>
      <c r="E85" s="11"/>
      <c r="F85" s="11"/>
      <c r="G85" s="11"/>
    </row>
    <row r="86" customFormat="false" ht="15" hidden="false" customHeight="false" outlineLevel="0" collapsed="false">
      <c r="A86" s="8" t="s">
        <v>137</v>
      </c>
      <c r="B86" s="9" t="s">
        <v>138</v>
      </c>
      <c r="C86" s="13"/>
      <c r="D86" s="7" t="s">
        <v>88</v>
      </c>
      <c r="E86" s="11"/>
      <c r="F86" s="11"/>
      <c r="G86" s="11"/>
    </row>
    <row r="87" customFormat="false" ht="15" hidden="false" customHeight="false" outlineLevel="0" collapsed="false">
      <c r="A87" s="8" t="s">
        <v>139</v>
      </c>
      <c r="B87" s="9" t="s">
        <v>140</v>
      </c>
      <c r="C87" s="7" t="n">
        <v>700</v>
      </c>
      <c r="D87" s="7" t="n">
        <v>1000</v>
      </c>
      <c r="E87" s="11"/>
      <c r="F87" s="7" t="str">
        <f aca="false">IF(E87="","",IF(E87&lt;=D87,"PASS","FAIL"))</f>
        <v/>
      </c>
      <c r="G87" s="11"/>
    </row>
    <row r="88" customFormat="false" ht="15" hidden="false" customHeight="false" outlineLevel="0" collapsed="false">
      <c r="A88" s="8" t="s">
        <v>141</v>
      </c>
      <c r="B88" s="9" t="s">
        <v>142</v>
      </c>
      <c r="C88" s="13"/>
      <c r="D88" s="7" t="s">
        <v>88</v>
      </c>
      <c r="E88" s="11"/>
      <c r="F88" s="11"/>
      <c r="G88" s="11"/>
    </row>
    <row r="89" customFormat="false" ht="15" hidden="false" customHeight="false" outlineLevel="0" collapsed="false">
      <c r="A89" s="15" t="s">
        <v>148</v>
      </c>
      <c r="B89" s="15"/>
      <c r="C89" s="15"/>
      <c r="D89" s="15"/>
      <c r="E89" s="15"/>
      <c r="F89" s="15"/>
      <c r="G89" s="15"/>
    </row>
    <row r="90" customFormat="false" ht="15" hidden="false" customHeight="false" outlineLevel="0" collapsed="false">
      <c r="A90" s="8" t="s">
        <v>117</v>
      </c>
      <c r="B90" s="9" t="s">
        <v>118</v>
      </c>
      <c r="C90" s="7" t="n">
        <v>100</v>
      </c>
      <c r="D90" s="7" t="n">
        <v>500</v>
      </c>
      <c r="E90" s="11"/>
      <c r="F90" s="7" t="str">
        <f aca="false">IF(E90="","",IF(E90&lt;=D90,"PASS","FAIL"))</f>
        <v/>
      </c>
      <c r="G90" s="11"/>
    </row>
    <row r="91" customFormat="false" ht="15" hidden="false" customHeight="false" outlineLevel="0" collapsed="false">
      <c r="A91" s="8" t="s">
        <v>119</v>
      </c>
      <c r="B91" s="9" t="s">
        <v>120</v>
      </c>
      <c r="C91" s="7" t="n">
        <v>500</v>
      </c>
      <c r="D91" s="7" t="n">
        <v>1000</v>
      </c>
      <c r="E91" s="11"/>
      <c r="F91" s="7" t="str">
        <f aca="false">IF(E91="","",IF(E91&lt;=D91,"PASS","FAIL"))</f>
        <v/>
      </c>
      <c r="G91" s="11"/>
    </row>
    <row r="92" customFormat="false" ht="15" hidden="false" customHeight="false" outlineLevel="0" collapsed="false">
      <c r="A92" s="8" t="s">
        <v>121</v>
      </c>
      <c r="B92" s="9" t="s">
        <v>122</v>
      </c>
      <c r="C92" s="7" t="n">
        <v>100</v>
      </c>
      <c r="D92" s="7" t="n">
        <v>500</v>
      </c>
      <c r="E92" s="11"/>
      <c r="F92" s="7" t="str">
        <f aca="false">IF(E92="","",IF(E92&lt;=D92,"PASS","FAIL"))</f>
        <v/>
      </c>
      <c r="G92" s="11"/>
    </row>
    <row r="93" customFormat="false" ht="15" hidden="false" customHeight="false" outlineLevel="0" collapsed="false">
      <c r="A93" s="8" t="s">
        <v>123</v>
      </c>
      <c r="B93" s="9" t="s">
        <v>124</v>
      </c>
      <c r="C93" s="7" t="n">
        <v>100</v>
      </c>
      <c r="D93" s="7" t="n">
        <v>500</v>
      </c>
      <c r="E93" s="11"/>
      <c r="F93" s="7" t="str">
        <f aca="false">IF(E93="","",IF(E93&lt;=D93,"PASS","FAIL"))</f>
        <v/>
      </c>
      <c r="G93" s="11"/>
    </row>
    <row r="94" customFormat="false" ht="15" hidden="false" customHeight="false" outlineLevel="0" collapsed="false">
      <c r="A94" s="8" t="s">
        <v>125</v>
      </c>
      <c r="B94" s="9" t="s">
        <v>126</v>
      </c>
      <c r="C94" s="7" t="n">
        <v>100</v>
      </c>
      <c r="D94" s="7" t="n">
        <v>500</v>
      </c>
      <c r="E94" s="11"/>
      <c r="F94" s="7" t="str">
        <f aca="false">IF(E94="","",IF(E94&lt;=D94,"PASS","FAIL"))</f>
        <v/>
      </c>
      <c r="G94" s="11"/>
    </row>
    <row r="95" customFormat="false" ht="15" hidden="false" customHeight="false" outlineLevel="0" collapsed="false">
      <c r="A95" s="8" t="s">
        <v>127</v>
      </c>
      <c r="B95" s="9" t="s">
        <v>128</v>
      </c>
      <c r="C95" s="7" t="n">
        <v>100</v>
      </c>
      <c r="D95" s="7" t="n">
        <v>500</v>
      </c>
      <c r="E95" s="11"/>
      <c r="F95" s="7" t="str">
        <f aca="false">IF(E95="","",IF(E95&lt;=D95,"PASS","FAIL"))</f>
        <v/>
      </c>
      <c r="G95" s="11"/>
    </row>
    <row r="96" customFormat="false" ht="15" hidden="false" customHeight="false" outlineLevel="0" collapsed="false">
      <c r="A96" s="8" t="s">
        <v>129</v>
      </c>
      <c r="B96" s="9" t="s">
        <v>130</v>
      </c>
      <c r="C96" s="7" t="n">
        <v>150</v>
      </c>
      <c r="D96" s="7" t="n">
        <v>300</v>
      </c>
      <c r="E96" s="11"/>
      <c r="F96" s="7" t="str">
        <f aca="false">IF(E96="","",IF(E96&lt;=D96,"PASS","FAIL"))</f>
        <v/>
      </c>
      <c r="G96" s="11"/>
    </row>
    <row r="97" customFormat="false" ht="15" hidden="false" customHeight="false" outlineLevel="0" collapsed="false">
      <c r="A97" s="8" t="s">
        <v>131</v>
      </c>
      <c r="B97" s="9" t="s">
        <v>132</v>
      </c>
      <c r="C97" s="7" t="n">
        <v>150</v>
      </c>
      <c r="D97" s="7" t="n">
        <v>300</v>
      </c>
      <c r="E97" s="11"/>
      <c r="F97" s="7" t="str">
        <f aca="false">IF(E97="","",IF(E97&lt;=D97,"PASS","FAIL"))</f>
        <v/>
      </c>
      <c r="G97" s="11"/>
    </row>
    <row r="98" customFormat="false" ht="15" hidden="false" customHeight="false" outlineLevel="0" collapsed="false">
      <c r="A98" s="8" t="s">
        <v>133</v>
      </c>
      <c r="B98" s="9" t="s">
        <v>134</v>
      </c>
      <c r="C98" s="7" t="n">
        <v>150</v>
      </c>
      <c r="D98" s="7" t="n">
        <v>300</v>
      </c>
      <c r="E98" s="11"/>
      <c r="F98" s="7" t="str">
        <f aca="false">IF(E98="","",IF(E98&lt;=D98,"PASS","FAIL"))</f>
        <v/>
      </c>
      <c r="G98" s="11"/>
    </row>
    <row r="99" customFormat="false" ht="15" hidden="false" customHeight="false" outlineLevel="0" collapsed="false">
      <c r="A99" s="8" t="s">
        <v>135</v>
      </c>
      <c r="B99" s="9" t="s">
        <v>136</v>
      </c>
      <c r="C99" s="13"/>
      <c r="D99" s="7" t="s">
        <v>88</v>
      </c>
      <c r="E99" s="11"/>
      <c r="F99" s="11"/>
      <c r="G99" s="11"/>
    </row>
    <row r="100" customFormat="false" ht="15" hidden="false" customHeight="false" outlineLevel="0" collapsed="false">
      <c r="A100" s="8" t="s">
        <v>137</v>
      </c>
      <c r="B100" s="9" t="s">
        <v>138</v>
      </c>
      <c r="C100" s="13"/>
      <c r="D100" s="7" t="s">
        <v>88</v>
      </c>
      <c r="E100" s="11"/>
      <c r="F100" s="11"/>
      <c r="G100" s="11"/>
    </row>
    <row r="101" customFormat="false" ht="15" hidden="false" customHeight="false" outlineLevel="0" collapsed="false">
      <c r="A101" s="8" t="s">
        <v>139</v>
      </c>
      <c r="B101" s="9" t="s">
        <v>140</v>
      </c>
      <c r="C101" s="7" t="n">
        <v>700</v>
      </c>
      <c r="D101" s="7" t="n">
        <v>1000</v>
      </c>
      <c r="E101" s="11"/>
      <c r="F101" s="7" t="str">
        <f aca="false">IF(E101="","",IF(E101&lt;=D101,"PASS","FAIL"))</f>
        <v/>
      </c>
      <c r="G101" s="11"/>
    </row>
    <row r="102" customFormat="false" ht="15" hidden="false" customHeight="false" outlineLevel="0" collapsed="false">
      <c r="A102" s="8" t="s">
        <v>141</v>
      </c>
      <c r="B102" s="9" t="s">
        <v>142</v>
      </c>
      <c r="C102" s="13"/>
      <c r="D102" s="7" t="s">
        <v>88</v>
      </c>
      <c r="E102" s="11"/>
      <c r="F102" s="11"/>
      <c r="G102" s="11"/>
    </row>
    <row r="103" customFormat="false" ht="15" hidden="false" customHeight="false" outlineLevel="0" collapsed="false">
      <c r="A103" s="15" t="s">
        <v>149</v>
      </c>
      <c r="B103" s="15"/>
      <c r="C103" s="15"/>
      <c r="D103" s="15"/>
      <c r="E103" s="15"/>
      <c r="F103" s="15"/>
      <c r="G103" s="15"/>
    </row>
    <row r="104" customFormat="false" ht="15" hidden="false" customHeight="false" outlineLevel="0" collapsed="false">
      <c r="A104" s="8" t="s">
        <v>117</v>
      </c>
      <c r="B104" s="9" t="s">
        <v>118</v>
      </c>
      <c r="C104" s="7" t="n">
        <v>100</v>
      </c>
      <c r="D104" s="7" t="n">
        <v>500</v>
      </c>
      <c r="E104" s="11"/>
      <c r="F104" s="7" t="str">
        <f aca="false">IF(E104="","",IF(E104&lt;=D104,"PASS","FAIL"))</f>
        <v/>
      </c>
      <c r="G104" s="11"/>
    </row>
    <row r="105" customFormat="false" ht="15" hidden="false" customHeight="false" outlineLevel="0" collapsed="false">
      <c r="A105" s="8" t="s">
        <v>119</v>
      </c>
      <c r="B105" s="9" t="s">
        <v>120</v>
      </c>
      <c r="C105" s="7" t="n">
        <v>500</v>
      </c>
      <c r="D105" s="7" t="n">
        <v>1000</v>
      </c>
      <c r="E105" s="11"/>
      <c r="F105" s="7" t="str">
        <f aca="false">IF(E105="","",IF(E105&lt;=D105,"PASS","FAIL"))</f>
        <v/>
      </c>
      <c r="G105" s="11"/>
    </row>
    <row r="106" customFormat="false" ht="15" hidden="false" customHeight="false" outlineLevel="0" collapsed="false">
      <c r="A106" s="8" t="s">
        <v>121</v>
      </c>
      <c r="B106" s="9" t="s">
        <v>122</v>
      </c>
      <c r="C106" s="7" t="n">
        <v>100</v>
      </c>
      <c r="D106" s="7" t="n">
        <v>500</v>
      </c>
      <c r="E106" s="11"/>
      <c r="F106" s="7" t="str">
        <f aca="false">IF(E106="","",IF(E106&lt;=D106,"PASS","FAIL"))</f>
        <v/>
      </c>
      <c r="G106" s="11"/>
    </row>
    <row r="107" customFormat="false" ht="15" hidden="false" customHeight="false" outlineLevel="0" collapsed="false">
      <c r="A107" s="8" t="s">
        <v>123</v>
      </c>
      <c r="B107" s="9" t="s">
        <v>124</v>
      </c>
      <c r="C107" s="7" t="n">
        <v>100</v>
      </c>
      <c r="D107" s="7" t="n">
        <v>500</v>
      </c>
      <c r="E107" s="11"/>
      <c r="F107" s="7" t="str">
        <f aca="false">IF(E107="","",IF(E107&lt;=D107,"PASS","FAIL"))</f>
        <v/>
      </c>
      <c r="G107" s="11"/>
    </row>
    <row r="108" customFormat="false" ht="15" hidden="false" customHeight="false" outlineLevel="0" collapsed="false">
      <c r="A108" s="8" t="s">
        <v>125</v>
      </c>
      <c r="B108" s="9" t="s">
        <v>126</v>
      </c>
      <c r="C108" s="7" t="n">
        <v>100</v>
      </c>
      <c r="D108" s="7" t="n">
        <v>500</v>
      </c>
      <c r="E108" s="11"/>
      <c r="F108" s="7" t="str">
        <f aca="false">IF(E108="","",IF(E108&lt;=D108,"PASS","FAIL"))</f>
        <v/>
      </c>
      <c r="G108" s="11"/>
    </row>
    <row r="109" customFormat="false" ht="15" hidden="false" customHeight="false" outlineLevel="0" collapsed="false">
      <c r="A109" s="8" t="s">
        <v>127</v>
      </c>
      <c r="B109" s="9" t="s">
        <v>128</v>
      </c>
      <c r="C109" s="7" t="n">
        <v>100</v>
      </c>
      <c r="D109" s="7" t="n">
        <v>500</v>
      </c>
      <c r="E109" s="11"/>
      <c r="F109" s="7" t="str">
        <f aca="false">IF(E109="","",IF(E109&lt;=D109,"PASS","FAIL"))</f>
        <v/>
      </c>
      <c r="G109" s="11"/>
    </row>
    <row r="110" customFormat="false" ht="15" hidden="false" customHeight="false" outlineLevel="0" collapsed="false">
      <c r="A110" s="8" t="s">
        <v>129</v>
      </c>
      <c r="B110" s="9" t="s">
        <v>130</v>
      </c>
      <c r="C110" s="7" t="n">
        <v>150</v>
      </c>
      <c r="D110" s="7" t="n">
        <v>300</v>
      </c>
      <c r="E110" s="11"/>
      <c r="F110" s="7" t="str">
        <f aca="false">IF(E110="","",IF(E110&lt;=D110,"PASS","FAIL"))</f>
        <v/>
      </c>
      <c r="G110" s="11"/>
    </row>
    <row r="111" customFormat="false" ht="15" hidden="false" customHeight="false" outlineLevel="0" collapsed="false">
      <c r="A111" s="8" t="s">
        <v>131</v>
      </c>
      <c r="B111" s="9" t="s">
        <v>132</v>
      </c>
      <c r="C111" s="7" t="n">
        <v>150</v>
      </c>
      <c r="D111" s="7" t="n">
        <v>300</v>
      </c>
      <c r="E111" s="11"/>
      <c r="F111" s="7" t="str">
        <f aca="false">IF(E111="","",IF(E111&lt;=D111,"PASS","FAIL"))</f>
        <v/>
      </c>
      <c r="G111" s="11"/>
    </row>
    <row r="112" customFormat="false" ht="15" hidden="false" customHeight="false" outlineLevel="0" collapsed="false">
      <c r="A112" s="8" t="s">
        <v>133</v>
      </c>
      <c r="B112" s="9" t="s">
        <v>134</v>
      </c>
      <c r="C112" s="7" t="n">
        <v>150</v>
      </c>
      <c r="D112" s="7" t="n">
        <v>300</v>
      </c>
      <c r="E112" s="11"/>
      <c r="F112" s="7" t="str">
        <f aca="false">IF(E112="","",IF(E112&lt;=D112,"PASS","FAIL"))</f>
        <v/>
      </c>
      <c r="G112" s="11"/>
    </row>
    <row r="113" customFormat="false" ht="15" hidden="false" customHeight="false" outlineLevel="0" collapsed="false">
      <c r="A113" s="8" t="s">
        <v>135</v>
      </c>
      <c r="B113" s="9" t="s">
        <v>136</v>
      </c>
      <c r="C113" s="13"/>
      <c r="D113" s="7" t="s">
        <v>88</v>
      </c>
      <c r="E113" s="11"/>
      <c r="F113" s="11"/>
      <c r="G113" s="11"/>
    </row>
    <row r="114" customFormat="false" ht="15" hidden="false" customHeight="false" outlineLevel="0" collapsed="false">
      <c r="A114" s="8" t="s">
        <v>137</v>
      </c>
      <c r="B114" s="9" t="s">
        <v>138</v>
      </c>
      <c r="C114" s="13"/>
      <c r="D114" s="7" t="s">
        <v>88</v>
      </c>
      <c r="E114" s="11"/>
      <c r="F114" s="11"/>
      <c r="G114" s="11"/>
    </row>
    <row r="115" customFormat="false" ht="15" hidden="false" customHeight="false" outlineLevel="0" collapsed="false">
      <c r="A115" s="8" t="s">
        <v>139</v>
      </c>
      <c r="B115" s="9" t="s">
        <v>140</v>
      </c>
      <c r="C115" s="7" t="n">
        <v>700</v>
      </c>
      <c r="D115" s="7" t="n">
        <v>1000</v>
      </c>
      <c r="E115" s="11"/>
      <c r="F115" s="7" t="str">
        <f aca="false">IF(E115="","",IF(E115&lt;=D115,"PASS","FAIL"))</f>
        <v/>
      </c>
      <c r="G115" s="11"/>
    </row>
    <row r="116" customFormat="false" ht="15" hidden="false" customHeight="false" outlineLevel="0" collapsed="false">
      <c r="A116" s="8" t="s">
        <v>141</v>
      </c>
      <c r="B116" s="9" t="s">
        <v>142</v>
      </c>
      <c r="C116" s="13"/>
      <c r="D116" s="7" t="s">
        <v>88</v>
      </c>
      <c r="E116" s="11"/>
      <c r="F116" s="11"/>
      <c r="G116" s="11"/>
    </row>
    <row r="117" customFormat="false" ht="15" hidden="false" customHeight="false" outlineLevel="0" collapsed="false">
      <c r="A117" s="15" t="s">
        <v>150</v>
      </c>
      <c r="B117" s="15"/>
      <c r="C117" s="15"/>
      <c r="D117" s="15"/>
      <c r="E117" s="15"/>
      <c r="F117" s="15"/>
      <c r="G117" s="15"/>
    </row>
    <row r="118" customFormat="false" ht="15" hidden="false" customHeight="false" outlineLevel="0" collapsed="false">
      <c r="A118" s="8" t="s">
        <v>117</v>
      </c>
      <c r="B118" s="9" t="s">
        <v>118</v>
      </c>
      <c r="C118" s="7" t="n">
        <v>100</v>
      </c>
      <c r="D118" s="7" t="n">
        <v>500</v>
      </c>
      <c r="E118" s="11"/>
      <c r="F118" s="7" t="str">
        <f aca="false">IF(E118="","",IF(E118&lt;=D118,"PASS","FAIL"))</f>
        <v/>
      </c>
      <c r="G118" s="11"/>
    </row>
    <row r="119" customFormat="false" ht="15" hidden="false" customHeight="false" outlineLevel="0" collapsed="false">
      <c r="A119" s="8" t="s">
        <v>119</v>
      </c>
      <c r="B119" s="9" t="s">
        <v>120</v>
      </c>
      <c r="C119" s="7" t="n">
        <v>500</v>
      </c>
      <c r="D119" s="7" t="n">
        <v>1000</v>
      </c>
      <c r="E119" s="11"/>
      <c r="F119" s="7" t="str">
        <f aca="false">IF(E119="","",IF(E119&lt;=D119,"PASS","FAIL"))</f>
        <v/>
      </c>
      <c r="G119" s="11"/>
    </row>
    <row r="120" customFormat="false" ht="15" hidden="false" customHeight="false" outlineLevel="0" collapsed="false">
      <c r="A120" s="8" t="s">
        <v>121</v>
      </c>
      <c r="B120" s="9" t="s">
        <v>122</v>
      </c>
      <c r="C120" s="7" t="n">
        <v>100</v>
      </c>
      <c r="D120" s="7" t="n">
        <v>500</v>
      </c>
      <c r="E120" s="11"/>
      <c r="F120" s="7" t="str">
        <f aca="false">IF(E120="","",IF(E120&lt;=D120,"PASS","FAIL"))</f>
        <v/>
      </c>
      <c r="G120" s="11"/>
    </row>
    <row r="121" customFormat="false" ht="15" hidden="false" customHeight="false" outlineLevel="0" collapsed="false">
      <c r="A121" s="8" t="s">
        <v>123</v>
      </c>
      <c r="B121" s="9" t="s">
        <v>124</v>
      </c>
      <c r="C121" s="7" t="n">
        <v>100</v>
      </c>
      <c r="D121" s="7" t="n">
        <v>500</v>
      </c>
      <c r="E121" s="11"/>
      <c r="F121" s="7" t="str">
        <f aca="false">IF(E121="","",IF(E121&lt;=D121,"PASS","FAIL"))</f>
        <v/>
      </c>
      <c r="G121" s="11"/>
    </row>
    <row r="122" customFormat="false" ht="15" hidden="false" customHeight="false" outlineLevel="0" collapsed="false">
      <c r="A122" s="8" t="s">
        <v>125</v>
      </c>
      <c r="B122" s="9" t="s">
        <v>126</v>
      </c>
      <c r="C122" s="7" t="n">
        <v>100</v>
      </c>
      <c r="D122" s="7" t="n">
        <v>500</v>
      </c>
      <c r="E122" s="11"/>
      <c r="F122" s="7" t="str">
        <f aca="false">IF(E122="","",IF(E122&lt;=D122,"PASS","FAIL"))</f>
        <v/>
      </c>
      <c r="G122" s="11"/>
    </row>
    <row r="123" customFormat="false" ht="15" hidden="false" customHeight="false" outlineLevel="0" collapsed="false">
      <c r="A123" s="8" t="s">
        <v>127</v>
      </c>
      <c r="B123" s="9" t="s">
        <v>128</v>
      </c>
      <c r="C123" s="7" t="n">
        <v>100</v>
      </c>
      <c r="D123" s="7" t="n">
        <v>500</v>
      </c>
      <c r="E123" s="11"/>
      <c r="F123" s="7" t="str">
        <f aca="false">IF(E123="","",IF(E123&lt;=D123,"PASS","FAIL"))</f>
        <v/>
      </c>
      <c r="G123" s="11"/>
    </row>
    <row r="124" customFormat="false" ht="15" hidden="false" customHeight="false" outlineLevel="0" collapsed="false">
      <c r="A124" s="8" t="s">
        <v>129</v>
      </c>
      <c r="B124" s="9" t="s">
        <v>130</v>
      </c>
      <c r="C124" s="7" t="n">
        <v>150</v>
      </c>
      <c r="D124" s="7" t="n">
        <v>300</v>
      </c>
      <c r="E124" s="11"/>
      <c r="F124" s="7" t="str">
        <f aca="false">IF(E124="","",IF(E124&lt;=D124,"PASS","FAIL"))</f>
        <v/>
      </c>
      <c r="G124" s="11"/>
    </row>
    <row r="125" customFormat="false" ht="15" hidden="false" customHeight="false" outlineLevel="0" collapsed="false">
      <c r="A125" s="8" t="s">
        <v>131</v>
      </c>
      <c r="B125" s="9" t="s">
        <v>132</v>
      </c>
      <c r="C125" s="7" t="n">
        <v>150</v>
      </c>
      <c r="D125" s="7" t="n">
        <v>300</v>
      </c>
      <c r="E125" s="11"/>
      <c r="F125" s="7" t="str">
        <f aca="false">IF(E125="","",IF(E125&lt;=D125,"PASS","FAIL"))</f>
        <v/>
      </c>
      <c r="G125" s="11"/>
    </row>
    <row r="126" customFormat="false" ht="15" hidden="false" customHeight="false" outlineLevel="0" collapsed="false">
      <c r="A126" s="8" t="s">
        <v>133</v>
      </c>
      <c r="B126" s="9" t="s">
        <v>134</v>
      </c>
      <c r="C126" s="7" t="n">
        <v>150</v>
      </c>
      <c r="D126" s="7" t="n">
        <v>300</v>
      </c>
      <c r="E126" s="11"/>
      <c r="F126" s="7" t="str">
        <f aca="false">IF(E126="","",IF(E126&lt;=D126,"PASS","FAIL"))</f>
        <v/>
      </c>
      <c r="G126" s="11"/>
    </row>
    <row r="127" customFormat="false" ht="15" hidden="false" customHeight="false" outlineLevel="0" collapsed="false">
      <c r="A127" s="8" t="s">
        <v>135</v>
      </c>
      <c r="B127" s="9" t="s">
        <v>136</v>
      </c>
      <c r="C127" s="13"/>
      <c r="D127" s="7" t="s">
        <v>88</v>
      </c>
      <c r="E127" s="11"/>
      <c r="F127" s="11"/>
      <c r="G127" s="11"/>
    </row>
    <row r="128" customFormat="false" ht="15" hidden="false" customHeight="false" outlineLevel="0" collapsed="false">
      <c r="A128" s="8" t="s">
        <v>137</v>
      </c>
      <c r="B128" s="9" t="s">
        <v>138</v>
      </c>
      <c r="C128" s="13"/>
      <c r="D128" s="7" t="s">
        <v>88</v>
      </c>
      <c r="E128" s="11"/>
      <c r="F128" s="11"/>
      <c r="G128" s="11"/>
    </row>
    <row r="129" customFormat="false" ht="15" hidden="false" customHeight="false" outlineLevel="0" collapsed="false">
      <c r="A129" s="8" t="s">
        <v>139</v>
      </c>
      <c r="B129" s="9" t="s">
        <v>140</v>
      </c>
      <c r="C129" s="7" t="n">
        <v>700</v>
      </c>
      <c r="D129" s="7" t="n">
        <v>1000</v>
      </c>
      <c r="E129" s="11"/>
      <c r="F129" s="7" t="str">
        <f aca="false">IF(E129="","",IF(E129&lt;=D129,"PASS","FAIL"))</f>
        <v/>
      </c>
      <c r="G129" s="11"/>
    </row>
    <row r="130" customFormat="false" ht="15" hidden="false" customHeight="false" outlineLevel="0" collapsed="false">
      <c r="A130" s="8" t="s">
        <v>141</v>
      </c>
      <c r="B130" s="9" t="s">
        <v>142</v>
      </c>
      <c r="C130" s="13"/>
      <c r="D130" s="7" t="s">
        <v>88</v>
      </c>
      <c r="E130" s="11"/>
      <c r="F130" s="11"/>
      <c r="G130" s="11"/>
    </row>
    <row r="131" customFormat="false" ht="15" hidden="false" customHeight="false" outlineLevel="0" collapsed="false">
      <c r="A131" s="15" t="s">
        <v>151</v>
      </c>
      <c r="B131" s="15"/>
      <c r="C131" s="15"/>
      <c r="D131" s="15"/>
      <c r="E131" s="15"/>
      <c r="F131" s="15"/>
      <c r="G131" s="15"/>
    </row>
    <row r="132" customFormat="false" ht="15" hidden="false" customHeight="false" outlineLevel="0" collapsed="false">
      <c r="A132" s="8" t="s">
        <v>117</v>
      </c>
      <c r="B132" s="9" t="s">
        <v>118</v>
      </c>
      <c r="C132" s="7" t="n">
        <v>100</v>
      </c>
      <c r="D132" s="7" t="n">
        <v>500</v>
      </c>
      <c r="E132" s="11"/>
      <c r="F132" s="7" t="str">
        <f aca="false">IF(E132="","",IF(E132&lt;=D132,"PASS","FAIL"))</f>
        <v/>
      </c>
      <c r="G132" s="11"/>
    </row>
    <row r="133" customFormat="false" ht="15" hidden="false" customHeight="false" outlineLevel="0" collapsed="false">
      <c r="A133" s="8" t="s">
        <v>119</v>
      </c>
      <c r="B133" s="9" t="s">
        <v>120</v>
      </c>
      <c r="C133" s="7" t="n">
        <v>500</v>
      </c>
      <c r="D133" s="7" t="n">
        <v>1000</v>
      </c>
      <c r="E133" s="11"/>
      <c r="F133" s="7" t="str">
        <f aca="false">IF(E133="","",IF(E133&lt;=D133,"PASS","FAIL"))</f>
        <v/>
      </c>
      <c r="G133" s="11"/>
    </row>
    <row r="134" customFormat="false" ht="15" hidden="false" customHeight="false" outlineLevel="0" collapsed="false">
      <c r="A134" s="8" t="s">
        <v>121</v>
      </c>
      <c r="B134" s="9" t="s">
        <v>122</v>
      </c>
      <c r="C134" s="7" t="n">
        <v>100</v>
      </c>
      <c r="D134" s="7" t="n">
        <v>500</v>
      </c>
      <c r="E134" s="11"/>
      <c r="F134" s="7" t="str">
        <f aca="false">IF(E134="","",IF(E134&lt;=D134,"PASS","FAIL"))</f>
        <v/>
      </c>
      <c r="G134" s="11"/>
    </row>
    <row r="135" customFormat="false" ht="15" hidden="false" customHeight="false" outlineLevel="0" collapsed="false">
      <c r="A135" s="8" t="s">
        <v>123</v>
      </c>
      <c r="B135" s="9" t="s">
        <v>124</v>
      </c>
      <c r="C135" s="7" t="n">
        <v>100</v>
      </c>
      <c r="D135" s="7" t="n">
        <v>500</v>
      </c>
      <c r="E135" s="11"/>
      <c r="F135" s="7" t="str">
        <f aca="false">IF(E135="","",IF(E135&lt;=D135,"PASS","FAIL"))</f>
        <v/>
      </c>
      <c r="G135" s="11"/>
    </row>
    <row r="136" customFormat="false" ht="15" hidden="false" customHeight="false" outlineLevel="0" collapsed="false">
      <c r="A136" s="8" t="s">
        <v>125</v>
      </c>
      <c r="B136" s="9" t="s">
        <v>126</v>
      </c>
      <c r="C136" s="7" t="n">
        <v>100</v>
      </c>
      <c r="D136" s="7" t="n">
        <v>500</v>
      </c>
      <c r="E136" s="11"/>
      <c r="F136" s="7" t="str">
        <f aca="false">IF(E136="","",IF(E136&lt;=D136,"PASS","FAIL"))</f>
        <v/>
      </c>
      <c r="G136" s="11"/>
    </row>
    <row r="137" customFormat="false" ht="15" hidden="false" customHeight="false" outlineLevel="0" collapsed="false">
      <c r="A137" s="8" t="s">
        <v>127</v>
      </c>
      <c r="B137" s="9" t="s">
        <v>128</v>
      </c>
      <c r="C137" s="7" t="n">
        <v>100</v>
      </c>
      <c r="D137" s="7" t="n">
        <v>500</v>
      </c>
      <c r="E137" s="11"/>
      <c r="F137" s="7" t="str">
        <f aca="false">IF(E137="","",IF(E137&lt;=D137,"PASS","FAIL"))</f>
        <v/>
      </c>
      <c r="G137" s="11"/>
    </row>
    <row r="138" customFormat="false" ht="15" hidden="false" customHeight="false" outlineLevel="0" collapsed="false">
      <c r="A138" s="8" t="s">
        <v>129</v>
      </c>
      <c r="B138" s="9" t="s">
        <v>130</v>
      </c>
      <c r="C138" s="7" t="n">
        <v>150</v>
      </c>
      <c r="D138" s="7" t="n">
        <v>300</v>
      </c>
      <c r="E138" s="11"/>
      <c r="F138" s="7" t="str">
        <f aca="false">IF(E138="","",IF(E138&lt;=D138,"PASS","FAIL"))</f>
        <v/>
      </c>
      <c r="G138" s="11"/>
    </row>
    <row r="139" customFormat="false" ht="15" hidden="false" customHeight="false" outlineLevel="0" collapsed="false">
      <c r="A139" s="8" t="s">
        <v>131</v>
      </c>
      <c r="B139" s="9" t="s">
        <v>132</v>
      </c>
      <c r="C139" s="7" t="n">
        <v>150</v>
      </c>
      <c r="D139" s="7" t="n">
        <v>300</v>
      </c>
      <c r="E139" s="11"/>
      <c r="F139" s="7" t="str">
        <f aca="false">IF(E139="","",IF(E139&lt;=D139,"PASS","FAIL"))</f>
        <v/>
      </c>
      <c r="G139" s="11"/>
    </row>
    <row r="140" customFormat="false" ht="15" hidden="false" customHeight="false" outlineLevel="0" collapsed="false">
      <c r="A140" s="8" t="s">
        <v>133</v>
      </c>
      <c r="B140" s="9" t="s">
        <v>134</v>
      </c>
      <c r="C140" s="7" t="n">
        <v>150</v>
      </c>
      <c r="D140" s="7" t="n">
        <v>300</v>
      </c>
      <c r="E140" s="11"/>
      <c r="F140" s="7" t="str">
        <f aca="false">IF(E140="","",IF(E140&lt;=D140,"PASS","FAIL"))</f>
        <v/>
      </c>
      <c r="G140" s="11"/>
    </row>
    <row r="141" customFormat="false" ht="15" hidden="false" customHeight="false" outlineLevel="0" collapsed="false">
      <c r="A141" s="8" t="s">
        <v>135</v>
      </c>
      <c r="B141" s="9" t="s">
        <v>136</v>
      </c>
      <c r="C141" s="13"/>
      <c r="D141" s="7" t="s">
        <v>88</v>
      </c>
      <c r="E141" s="11"/>
      <c r="F141" s="11"/>
      <c r="G141" s="11"/>
    </row>
    <row r="142" customFormat="false" ht="15" hidden="false" customHeight="false" outlineLevel="0" collapsed="false">
      <c r="A142" s="8" t="s">
        <v>137</v>
      </c>
      <c r="B142" s="9" t="s">
        <v>138</v>
      </c>
      <c r="C142" s="13"/>
      <c r="D142" s="7" t="s">
        <v>88</v>
      </c>
      <c r="E142" s="11"/>
      <c r="F142" s="11"/>
      <c r="G142" s="11"/>
    </row>
    <row r="143" customFormat="false" ht="15" hidden="false" customHeight="false" outlineLevel="0" collapsed="false">
      <c r="A143" s="8" t="s">
        <v>139</v>
      </c>
      <c r="B143" s="9" t="s">
        <v>140</v>
      </c>
      <c r="C143" s="7" t="n">
        <v>700</v>
      </c>
      <c r="D143" s="7" t="n">
        <v>1000</v>
      </c>
      <c r="E143" s="11"/>
      <c r="F143" s="7" t="str">
        <f aca="false">IF(E143="","",IF(E143&lt;=D143,"PASS","FAIL"))</f>
        <v/>
      </c>
      <c r="G143" s="11"/>
    </row>
    <row r="144" customFormat="false" ht="15" hidden="false" customHeight="false" outlineLevel="0" collapsed="false">
      <c r="A144" s="8" t="s">
        <v>141</v>
      </c>
      <c r="B144" s="9" t="s">
        <v>142</v>
      </c>
      <c r="C144" s="13"/>
      <c r="D144" s="7" t="s">
        <v>88</v>
      </c>
      <c r="E144" s="11"/>
      <c r="F144" s="11"/>
      <c r="G144" s="11"/>
    </row>
    <row r="145" customFormat="false" ht="15" hidden="false" customHeight="false" outlineLevel="0" collapsed="false">
      <c r="A145" s="15" t="s">
        <v>152</v>
      </c>
      <c r="B145" s="15"/>
      <c r="C145" s="15"/>
      <c r="D145" s="15"/>
      <c r="E145" s="15"/>
      <c r="F145" s="15"/>
      <c r="G145" s="15"/>
    </row>
    <row r="146" customFormat="false" ht="15" hidden="false" customHeight="false" outlineLevel="0" collapsed="false">
      <c r="A146" s="8" t="s">
        <v>117</v>
      </c>
      <c r="B146" s="9" t="s">
        <v>118</v>
      </c>
      <c r="C146" s="7" t="n">
        <v>100</v>
      </c>
      <c r="D146" s="7" t="n">
        <v>500</v>
      </c>
      <c r="E146" s="11"/>
      <c r="F146" s="7" t="str">
        <f aca="false">IF(E146="","",IF(E146&lt;=D146,"PASS","FAIL"))</f>
        <v/>
      </c>
      <c r="G146" s="11"/>
    </row>
    <row r="147" customFormat="false" ht="15" hidden="false" customHeight="false" outlineLevel="0" collapsed="false">
      <c r="A147" s="8" t="s">
        <v>119</v>
      </c>
      <c r="B147" s="9" t="s">
        <v>120</v>
      </c>
      <c r="C147" s="7" t="n">
        <v>500</v>
      </c>
      <c r="D147" s="7" t="n">
        <v>1000</v>
      </c>
      <c r="E147" s="11"/>
      <c r="F147" s="7" t="str">
        <f aca="false">IF(E147="","",IF(E147&lt;=D147,"PASS","FAIL"))</f>
        <v/>
      </c>
      <c r="G147" s="11"/>
    </row>
    <row r="148" customFormat="false" ht="15" hidden="false" customHeight="false" outlineLevel="0" collapsed="false">
      <c r="A148" s="8" t="s">
        <v>121</v>
      </c>
      <c r="B148" s="9" t="s">
        <v>122</v>
      </c>
      <c r="C148" s="7" t="n">
        <v>100</v>
      </c>
      <c r="D148" s="7" t="n">
        <v>500</v>
      </c>
      <c r="E148" s="11"/>
      <c r="F148" s="7" t="str">
        <f aca="false">IF(E148="","",IF(E148&lt;=D148,"PASS","FAIL"))</f>
        <v/>
      </c>
      <c r="G148" s="11"/>
    </row>
    <row r="149" customFormat="false" ht="15" hidden="false" customHeight="false" outlineLevel="0" collapsed="false">
      <c r="A149" s="8" t="s">
        <v>123</v>
      </c>
      <c r="B149" s="9" t="s">
        <v>124</v>
      </c>
      <c r="C149" s="7" t="n">
        <v>100</v>
      </c>
      <c r="D149" s="7" t="n">
        <v>500</v>
      </c>
      <c r="E149" s="11"/>
      <c r="F149" s="7" t="str">
        <f aca="false">IF(E149="","",IF(E149&lt;=D149,"PASS","FAIL"))</f>
        <v/>
      </c>
      <c r="G149" s="11"/>
    </row>
    <row r="150" customFormat="false" ht="15" hidden="false" customHeight="false" outlineLevel="0" collapsed="false">
      <c r="A150" s="8" t="s">
        <v>125</v>
      </c>
      <c r="B150" s="9" t="s">
        <v>126</v>
      </c>
      <c r="C150" s="7" t="n">
        <v>100</v>
      </c>
      <c r="D150" s="7" t="n">
        <v>500</v>
      </c>
      <c r="E150" s="11"/>
      <c r="F150" s="7" t="str">
        <f aca="false">IF(E150="","",IF(E150&lt;=D150,"PASS","FAIL"))</f>
        <v/>
      </c>
      <c r="G150" s="11"/>
    </row>
    <row r="151" customFormat="false" ht="15" hidden="false" customHeight="false" outlineLevel="0" collapsed="false">
      <c r="A151" s="8" t="s">
        <v>127</v>
      </c>
      <c r="B151" s="9" t="s">
        <v>128</v>
      </c>
      <c r="C151" s="7" t="n">
        <v>100</v>
      </c>
      <c r="D151" s="7" t="n">
        <v>500</v>
      </c>
      <c r="E151" s="11"/>
      <c r="F151" s="7" t="str">
        <f aca="false">IF(E151="","",IF(E151&lt;=D151,"PASS","FAIL"))</f>
        <v/>
      </c>
      <c r="G151" s="11"/>
    </row>
    <row r="152" customFormat="false" ht="15" hidden="false" customHeight="false" outlineLevel="0" collapsed="false">
      <c r="A152" s="8" t="s">
        <v>129</v>
      </c>
      <c r="B152" s="9" t="s">
        <v>130</v>
      </c>
      <c r="C152" s="7" t="n">
        <v>150</v>
      </c>
      <c r="D152" s="7" t="n">
        <v>300</v>
      </c>
      <c r="E152" s="11"/>
      <c r="F152" s="7" t="str">
        <f aca="false">IF(E152="","",IF(E152&lt;=D152,"PASS","FAIL"))</f>
        <v/>
      </c>
      <c r="G152" s="11"/>
    </row>
    <row r="153" customFormat="false" ht="15" hidden="false" customHeight="false" outlineLevel="0" collapsed="false">
      <c r="A153" s="8" t="s">
        <v>131</v>
      </c>
      <c r="B153" s="9" t="s">
        <v>132</v>
      </c>
      <c r="C153" s="7" t="n">
        <v>150</v>
      </c>
      <c r="D153" s="7" t="n">
        <v>300</v>
      </c>
      <c r="E153" s="11"/>
      <c r="F153" s="7" t="str">
        <f aca="false">IF(E153="","",IF(E153&lt;=D153,"PASS","FAIL"))</f>
        <v/>
      </c>
      <c r="G153" s="11"/>
    </row>
    <row r="154" customFormat="false" ht="15" hidden="false" customHeight="false" outlineLevel="0" collapsed="false">
      <c r="A154" s="8" t="s">
        <v>133</v>
      </c>
      <c r="B154" s="9" t="s">
        <v>134</v>
      </c>
      <c r="C154" s="7" t="n">
        <v>150</v>
      </c>
      <c r="D154" s="7" t="n">
        <v>300</v>
      </c>
      <c r="E154" s="11"/>
      <c r="F154" s="7" t="str">
        <f aca="false">IF(E154="","",IF(E154&lt;=D154,"PASS","FAIL"))</f>
        <v/>
      </c>
      <c r="G154" s="11"/>
    </row>
    <row r="155" customFormat="false" ht="15" hidden="false" customHeight="false" outlineLevel="0" collapsed="false">
      <c r="A155" s="8" t="s">
        <v>135</v>
      </c>
      <c r="B155" s="9" t="s">
        <v>136</v>
      </c>
      <c r="C155" s="13"/>
      <c r="D155" s="7" t="s">
        <v>88</v>
      </c>
      <c r="E155" s="11"/>
      <c r="F155" s="11"/>
      <c r="G155" s="11"/>
    </row>
    <row r="156" customFormat="false" ht="15" hidden="false" customHeight="false" outlineLevel="0" collapsed="false">
      <c r="A156" s="8" t="s">
        <v>137</v>
      </c>
      <c r="B156" s="9" t="s">
        <v>138</v>
      </c>
      <c r="C156" s="13"/>
      <c r="D156" s="7" t="s">
        <v>88</v>
      </c>
      <c r="E156" s="11"/>
      <c r="F156" s="11"/>
      <c r="G156" s="11"/>
    </row>
    <row r="157" customFormat="false" ht="15" hidden="false" customHeight="false" outlineLevel="0" collapsed="false">
      <c r="A157" s="8" t="s">
        <v>139</v>
      </c>
      <c r="B157" s="9" t="s">
        <v>140</v>
      </c>
      <c r="C157" s="7" t="n">
        <v>700</v>
      </c>
      <c r="D157" s="7" t="n">
        <v>1000</v>
      </c>
      <c r="E157" s="11"/>
      <c r="F157" s="7" t="str">
        <f aca="false">IF(E157="","",IF(E157&lt;=D157,"PASS","FAIL"))</f>
        <v/>
      </c>
      <c r="G157" s="11"/>
    </row>
    <row r="158" customFormat="false" ht="15" hidden="false" customHeight="false" outlineLevel="0" collapsed="false">
      <c r="A158" s="8" t="s">
        <v>141</v>
      </c>
      <c r="B158" s="9" t="s">
        <v>142</v>
      </c>
      <c r="C158" s="13"/>
      <c r="D158" s="7" t="s">
        <v>88</v>
      </c>
      <c r="E158" s="11"/>
      <c r="F158" s="11"/>
      <c r="G158" s="11"/>
    </row>
    <row r="159" customFormat="false" ht="15" hidden="false" customHeight="false" outlineLevel="0" collapsed="false">
      <c r="A159" s="15" t="s">
        <v>153</v>
      </c>
      <c r="B159" s="15"/>
      <c r="C159" s="15"/>
      <c r="D159" s="15"/>
      <c r="E159" s="15"/>
      <c r="F159" s="15"/>
      <c r="G159" s="15"/>
    </row>
    <row r="160" customFormat="false" ht="15" hidden="false" customHeight="false" outlineLevel="0" collapsed="false">
      <c r="A160" s="8" t="s">
        <v>117</v>
      </c>
      <c r="B160" s="9" t="s">
        <v>118</v>
      </c>
      <c r="C160" s="7" t="n">
        <v>100</v>
      </c>
      <c r="D160" s="7" t="n">
        <v>500</v>
      </c>
      <c r="E160" s="11"/>
      <c r="F160" s="7" t="str">
        <f aca="false">IF(E160="","",IF(E160&lt;=D160,"PASS","FAIL"))</f>
        <v/>
      </c>
      <c r="G160" s="11"/>
    </row>
    <row r="161" customFormat="false" ht="15" hidden="false" customHeight="false" outlineLevel="0" collapsed="false">
      <c r="A161" s="8" t="s">
        <v>119</v>
      </c>
      <c r="B161" s="9" t="s">
        <v>120</v>
      </c>
      <c r="C161" s="7" t="n">
        <v>500</v>
      </c>
      <c r="D161" s="7" t="n">
        <v>1000</v>
      </c>
      <c r="E161" s="11"/>
      <c r="F161" s="7" t="str">
        <f aca="false">IF(E161="","",IF(E161&lt;=D161,"PASS","FAIL"))</f>
        <v/>
      </c>
      <c r="G161" s="11"/>
    </row>
    <row r="162" customFormat="false" ht="15" hidden="false" customHeight="false" outlineLevel="0" collapsed="false">
      <c r="A162" s="8" t="s">
        <v>121</v>
      </c>
      <c r="B162" s="9" t="s">
        <v>122</v>
      </c>
      <c r="C162" s="7" t="n">
        <v>100</v>
      </c>
      <c r="D162" s="7" t="n">
        <v>500</v>
      </c>
      <c r="E162" s="11"/>
      <c r="F162" s="7" t="str">
        <f aca="false">IF(E162="","",IF(E162&lt;=D162,"PASS","FAIL"))</f>
        <v/>
      </c>
      <c r="G162" s="11"/>
    </row>
    <row r="163" customFormat="false" ht="15" hidden="false" customHeight="false" outlineLevel="0" collapsed="false">
      <c r="A163" s="8" t="s">
        <v>123</v>
      </c>
      <c r="B163" s="9" t="s">
        <v>124</v>
      </c>
      <c r="C163" s="7" t="n">
        <v>100</v>
      </c>
      <c r="D163" s="7" t="n">
        <v>500</v>
      </c>
      <c r="E163" s="11"/>
      <c r="F163" s="7" t="str">
        <f aca="false">IF(E163="","",IF(E163&lt;=D163,"PASS","FAIL"))</f>
        <v/>
      </c>
      <c r="G163" s="11"/>
    </row>
    <row r="164" customFormat="false" ht="15" hidden="false" customHeight="false" outlineLevel="0" collapsed="false">
      <c r="A164" s="8" t="s">
        <v>125</v>
      </c>
      <c r="B164" s="9" t="s">
        <v>126</v>
      </c>
      <c r="C164" s="7" t="n">
        <v>100</v>
      </c>
      <c r="D164" s="7" t="n">
        <v>500</v>
      </c>
      <c r="E164" s="11"/>
      <c r="F164" s="7" t="str">
        <f aca="false">IF(E164="","",IF(E164&lt;=D164,"PASS","FAIL"))</f>
        <v/>
      </c>
      <c r="G164" s="11"/>
    </row>
    <row r="165" customFormat="false" ht="15" hidden="false" customHeight="false" outlineLevel="0" collapsed="false">
      <c r="A165" s="8" t="s">
        <v>127</v>
      </c>
      <c r="B165" s="9" t="s">
        <v>128</v>
      </c>
      <c r="C165" s="7" t="n">
        <v>100</v>
      </c>
      <c r="D165" s="7" t="n">
        <v>500</v>
      </c>
      <c r="E165" s="11"/>
      <c r="F165" s="7" t="str">
        <f aca="false">IF(E165="","",IF(E165&lt;=D165,"PASS","FAIL"))</f>
        <v/>
      </c>
      <c r="G165" s="11"/>
    </row>
    <row r="166" customFormat="false" ht="15" hidden="false" customHeight="false" outlineLevel="0" collapsed="false">
      <c r="A166" s="8" t="s">
        <v>129</v>
      </c>
      <c r="B166" s="9" t="s">
        <v>130</v>
      </c>
      <c r="C166" s="7" t="n">
        <v>150</v>
      </c>
      <c r="D166" s="7" t="n">
        <v>300</v>
      </c>
      <c r="E166" s="11"/>
      <c r="F166" s="7" t="str">
        <f aca="false">IF(E166="","",IF(E166&lt;=D166,"PASS","FAIL"))</f>
        <v/>
      </c>
      <c r="G166" s="11"/>
    </row>
    <row r="167" customFormat="false" ht="15" hidden="false" customHeight="false" outlineLevel="0" collapsed="false">
      <c r="A167" s="8" t="s">
        <v>131</v>
      </c>
      <c r="B167" s="9" t="s">
        <v>132</v>
      </c>
      <c r="C167" s="7" t="n">
        <v>150</v>
      </c>
      <c r="D167" s="7" t="n">
        <v>300</v>
      </c>
      <c r="E167" s="11"/>
      <c r="F167" s="7" t="str">
        <f aca="false">IF(E167="","",IF(E167&lt;=D167,"PASS","FAIL"))</f>
        <v/>
      </c>
      <c r="G167" s="11"/>
    </row>
    <row r="168" customFormat="false" ht="15" hidden="false" customHeight="false" outlineLevel="0" collapsed="false">
      <c r="A168" s="8" t="s">
        <v>133</v>
      </c>
      <c r="B168" s="9" t="s">
        <v>134</v>
      </c>
      <c r="C168" s="7" t="n">
        <v>150</v>
      </c>
      <c r="D168" s="7" t="n">
        <v>300</v>
      </c>
      <c r="E168" s="11"/>
      <c r="F168" s="7" t="str">
        <f aca="false">IF(E168="","",IF(E168&lt;=D168,"PASS","FAIL"))</f>
        <v/>
      </c>
      <c r="G168" s="11"/>
    </row>
    <row r="169" customFormat="false" ht="15" hidden="false" customHeight="false" outlineLevel="0" collapsed="false">
      <c r="A169" s="8" t="s">
        <v>135</v>
      </c>
      <c r="B169" s="9" t="s">
        <v>136</v>
      </c>
      <c r="C169" s="13"/>
      <c r="D169" s="7" t="s">
        <v>88</v>
      </c>
      <c r="E169" s="11"/>
      <c r="F169" s="11"/>
      <c r="G169" s="11"/>
    </row>
    <row r="170" customFormat="false" ht="15" hidden="false" customHeight="false" outlineLevel="0" collapsed="false">
      <c r="A170" s="8" t="s">
        <v>137</v>
      </c>
      <c r="B170" s="9" t="s">
        <v>138</v>
      </c>
      <c r="C170" s="13"/>
      <c r="D170" s="7" t="s">
        <v>88</v>
      </c>
      <c r="E170" s="11"/>
      <c r="F170" s="11"/>
      <c r="G170" s="11"/>
    </row>
    <row r="171" customFormat="false" ht="15" hidden="false" customHeight="false" outlineLevel="0" collapsed="false">
      <c r="A171" s="8" t="s">
        <v>139</v>
      </c>
      <c r="B171" s="9" t="s">
        <v>140</v>
      </c>
      <c r="C171" s="7" t="n">
        <v>700</v>
      </c>
      <c r="D171" s="7" t="n">
        <v>1000</v>
      </c>
      <c r="E171" s="11"/>
      <c r="F171" s="7" t="str">
        <f aca="false">IF(E171="","",IF(E171&lt;=D171,"PASS","FAIL"))</f>
        <v/>
      </c>
      <c r="G171" s="11"/>
    </row>
    <row r="172" customFormat="false" ht="15" hidden="false" customHeight="false" outlineLevel="0" collapsed="false">
      <c r="A172" s="8" t="s">
        <v>141</v>
      </c>
      <c r="B172" s="9" t="s">
        <v>142</v>
      </c>
      <c r="C172" s="13"/>
      <c r="D172" s="7" t="s">
        <v>88</v>
      </c>
      <c r="E172" s="11"/>
      <c r="F172" s="11"/>
      <c r="G172" s="11"/>
    </row>
    <row r="173" customFormat="false" ht="15" hidden="false" customHeight="false" outlineLevel="0" collapsed="false">
      <c r="A173" s="15" t="s">
        <v>154</v>
      </c>
      <c r="B173" s="15"/>
      <c r="C173" s="15"/>
      <c r="D173" s="15"/>
      <c r="E173" s="15"/>
      <c r="F173" s="15"/>
      <c r="G173" s="15"/>
    </row>
    <row r="174" customFormat="false" ht="15" hidden="false" customHeight="false" outlineLevel="0" collapsed="false">
      <c r="A174" s="8" t="s">
        <v>117</v>
      </c>
      <c r="B174" s="9" t="s">
        <v>118</v>
      </c>
      <c r="C174" s="7" t="n">
        <v>100</v>
      </c>
      <c r="D174" s="7" t="n">
        <v>500</v>
      </c>
      <c r="E174" s="11"/>
      <c r="F174" s="7" t="str">
        <f aca="false">IF(E174="","",IF(E174&lt;=D174,"PASS","FAIL"))</f>
        <v/>
      </c>
      <c r="G174" s="11"/>
    </row>
    <row r="175" customFormat="false" ht="15" hidden="false" customHeight="false" outlineLevel="0" collapsed="false">
      <c r="A175" s="8" t="s">
        <v>119</v>
      </c>
      <c r="B175" s="9" t="s">
        <v>120</v>
      </c>
      <c r="C175" s="7" t="n">
        <v>500</v>
      </c>
      <c r="D175" s="7" t="n">
        <v>1000</v>
      </c>
      <c r="E175" s="11"/>
      <c r="F175" s="7" t="str">
        <f aca="false">IF(E175="","",IF(E175&lt;=D175,"PASS","FAIL"))</f>
        <v/>
      </c>
      <c r="G175" s="11"/>
    </row>
    <row r="176" customFormat="false" ht="15" hidden="false" customHeight="false" outlineLevel="0" collapsed="false">
      <c r="A176" s="8" t="s">
        <v>121</v>
      </c>
      <c r="B176" s="9" t="s">
        <v>122</v>
      </c>
      <c r="C176" s="7" t="n">
        <v>100</v>
      </c>
      <c r="D176" s="7" t="n">
        <v>500</v>
      </c>
      <c r="E176" s="11"/>
      <c r="F176" s="7" t="str">
        <f aca="false">IF(E176="","",IF(E176&lt;=D176,"PASS","FAIL"))</f>
        <v/>
      </c>
      <c r="G176" s="11"/>
    </row>
    <row r="177" customFormat="false" ht="15" hidden="false" customHeight="false" outlineLevel="0" collapsed="false">
      <c r="A177" s="8" t="s">
        <v>123</v>
      </c>
      <c r="B177" s="9" t="s">
        <v>124</v>
      </c>
      <c r="C177" s="7" t="n">
        <v>100</v>
      </c>
      <c r="D177" s="7" t="n">
        <v>500</v>
      </c>
      <c r="E177" s="11"/>
      <c r="F177" s="7" t="str">
        <f aca="false">IF(E177="","",IF(E177&lt;=D177,"PASS","FAIL"))</f>
        <v/>
      </c>
      <c r="G177" s="11"/>
    </row>
    <row r="178" customFormat="false" ht="15" hidden="false" customHeight="false" outlineLevel="0" collapsed="false">
      <c r="A178" s="8" t="s">
        <v>125</v>
      </c>
      <c r="B178" s="9" t="s">
        <v>126</v>
      </c>
      <c r="C178" s="7" t="n">
        <v>100</v>
      </c>
      <c r="D178" s="7" t="n">
        <v>500</v>
      </c>
      <c r="E178" s="11"/>
      <c r="F178" s="7" t="str">
        <f aca="false">IF(E178="","",IF(E178&lt;=D178,"PASS","FAIL"))</f>
        <v/>
      </c>
      <c r="G178" s="11"/>
    </row>
    <row r="179" customFormat="false" ht="15" hidden="false" customHeight="false" outlineLevel="0" collapsed="false">
      <c r="A179" s="8" t="s">
        <v>127</v>
      </c>
      <c r="B179" s="9" t="s">
        <v>128</v>
      </c>
      <c r="C179" s="7" t="n">
        <v>100</v>
      </c>
      <c r="D179" s="7" t="n">
        <v>500</v>
      </c>
      <c r="E179" s="11"/>
      <c r="F179" s="7" t="str">
        <f aca="false">IF(E179="","",IF(E179&lt;=D179,"PASS","FAIL"))</f>
        <v/>
      </c>
      <c r="G179" s="11"/>
    </row>
    <row r="180" customFormat="false" ht="15" hidden="false" customHeight="false" outlineLevel="0" collapsed="false">
      <c r="A180" s="8" t="s">
        <v>129</v>
      </c>
      <c r="B180" s="9" t="s">
        <v>130</v>
      </c>
      <c r="C180" s="7" t="n">
        <v>150</v>
      </c>
      <c r="D180" s="7" t="n">
        <v>300</v>
      </c>
      <c r="E180" s="11"/>
      <c r="F180" s="7" t="str">
        <f aca="false">IF(E180="","",IF(E180&lt;=D180,"PASS","FAIL"))</f>
        <v/>
      </c>
      <c r="G180" s="11"/>
    </row>
    <row r="181" customFormat="false" ht="15" hidden="false" customHeight="false" outlineLevel="0" collapsed="false">
      <c r="A181" s="8" t="s">
        <v>131</v>
      </c>
      <c r="B181" s="9" t="s">
        <v>132</v>
      </c>
      <c r="C181" s="7" t="n">
        <v>150</v>
      </c>
      <c r="D181" s="7" t="n">
        <v>300</v>
      </c>
      <c r="E181" s="11"/>
      <c r="F181" s="7" t="str">
        <f aca="false">IF(E181="","",IF(E181&lt;=D181,"PASS","FAIL"))</f>
        <v/>
      </c>
      <c r="G181" s="11"/>
    </row>
    <row r="182" customFormat="false" ht="15" hidden="false" customHeight="false" outlineLevel="0" collapsed="false">
      <c r="A182" s="8" t="s">
        <v>133</v>
      </c>
      <c r="B182" s="9" t="s">
        <v>134</v>
      </c>
      <c r="C182" s="7" t="n">
        <v>150</v>
      </c>
      <c r="D182" s="7" t="n">
        <v>300</v>
      </c>
      <c r="E182" s="11"/>
      <c r="F182" s="7" t="str">
        <f aca="false">IF(E182="","",IF(E182&lt;=D182,"PASS","FAIL"))</f>
        <v/>
      </c>
      <c r="G182" s="11"/>
    </row>
    <row r="183" customFormat="false" ht="15" hidden="false" customHeight="false" outlineLevel="0" collapsed="false">
      <c r="A183" s="8" t="s">
        <v>135</v>
      </c>
      <c r="B183" s="9" t="s">
        <v>136</v>
      </c>
      <c r="C183" s="13"/>
      <c r="D183" s="7" t="s">
        <v>88</v>
      </c>
      <c r="E183" s="11"/>
      <c r="F183" s="11"/>
      <c r="G183" s="11"/>
    </row>
    <row r="184" customFormat="false" ht="15" hidden="false" customHeight="false" outlineLevel="0" collapsed="false">
      <c r="A184" s="8" t="s">
        <v>137</v>
      </c>
      <c r="B184" s="9" t="s">
        <v>138</v>
      </c>
      <c r="C184" s="13"/>
      <c r="D184" s="7" t="s">
        <v>88</v>
      </c>
      <c r="E184" s="11"/>
      <c r="F184" s="11"/>
      <c r="G184" s="11"/>
    </row>
    <row r="185" customFormat="false" ht="15" hidden="false" customHeight="false" outlineLevel="0" collapsed="false">
      <c r="A185" s="8" t="s">
        <v>139</v>
      </c>
      <c r="B185" s="9" t="s">
        <v>140</v>
      </c>
      <c r="C185" s="7" t="n">
        <v>700</v>
      </c>
      <c r="D185" s="7" t="n">
        <v>1000</v>
      </c>
      <c r="E185" s="11"/>
      <c r="F185" s="7" t="str">
        <f aca="false">IF(E185="","",IF(E185&lt;=D185,"PASS","FAIL"))</f>
        <v/>
      </c>
      <c r="G185" s="11"/>
    </row>
    <row r="186" customFormat="false" ht="15" hidden="false" customHeight="false" outlineLevel="0" collapsed="false">
      <c r="A186" s="8" t="s">
        <v>141</v>
      </c>
      <c r="B186" s="9" t="s">
        <v>142</v>
      </c>
      <c r="C186" s="13"/>
      <c r="D186" s="7" t="s">
        <v>88</v>
      </c>
      <c r="E186" s="11"/>
      <c r="F186" s="11"/>
      <c r="G186" s="11"/>
    </row>
    <row r="187" customFormat="false" ht="15" hidden="false" customHeight="false" outlineLevel="0" collapsed="false">
      <c r="A187" s="15" t="s">
        <v>155</v>
      </c>
      <c r="B187" s="15"/>
      <c r="C187" s="15"/>
      <c r="D187" s="15"/>
      <c r="E187" s="15"/>
      <c r="F187" s="15"/>
      <c r="G187" s="15"/>
    </row>
    <row r="188" customFormat="false" ht="15" hidden="false" customHeight="false" outlineLevel="0" collapsed="false">
      <c r="A188" s="8" t="s">
        <v>117</v>
      </c>
      <c r="B188" s="9" t="s">
        <v>118</v>
      </c>
      <c r="C188" s="7" t="n">
        <v>100</v>
      </c>
      <c r="D188" s="7" t="n">
        <v>500</v>
      </c>
      <c r="E188" s="11"/>
      <c r="F188" s="7" t="str">
        <f aca="false">IF(E188="","",IF(E188&lt;=D188,"PASS","FAIL"))</f>
        <v/>
      </c>
      <c r="G188" s="11"/>
    </row>
    <row r="189" customFormat="false" ht="15" hidden="false" customHeight="false" outlineLevel="0" collapsed="false">
      <c r="A189" s="8" t="s">
        <v>119</v>
      </c>
      <c r="B189" s="9" t="s">
        <v>120</v>
      </c>
      <c r="C189" s="7" t="n">
        <v>500</v>
      </c>
      <c r="D189" s="7" t="n">
        <v>1000</v>
      </c>
      <c r="E189" s="11"/>
      <c r="F189" s="7" t="str">
        <f aca="false">IF(E189="","",IF(E189&lt;=D189,"PASS","FAIL"))</f>
        <v/>
      </c>
      <c r="G189" s="11"/>
    </row>
    <row r="190" customFormat="false" ht="15" hidden="false" customHeight="false" outlineLevel="0" collapsed="false">
      <c r="A190" s="8" t="s">
        <v>121</v>
      </c>
      <c r="B190" s="9" t="s">
        <v>122</v>
      </c>
      <c r="C190" s="7" t="n">
        <v>100</v>
      </c>
      <c r="D190" s="7" t="n">
        <v>500</v>
      </c>
      <c r="E190" s="11"/>
      <c r="F190" s="7" t="str">
        <f aca="false">IF(E190="","",IF(E190&lt;=D190,"PASS","FAIL"))</f>
        <v/>
      </c>
      <c r="G190" s="11"/>
    </row>
    <row r="191" customFormat="false" ht="15" hidden="false" customHeight="false" outlineLevel="0" collapsed="false">
      <c r="A191" s="8" t="s">
        <v>123</v>
      </c>
      <c r="B191" s="9" t="s">
        <v>124</v>
      </c>
      <c r="C191" s="7" t="n">
        <v>100</v>
      </c>
      <c r="D191" s="7" t="n">
        <v>500</v>
      </c>
      <c r="E191" s="11"/>
      <c r="F191" s="7" t="str">
        <f aca="false">IF(E191="","",IF(E191&lt;=D191,"PASS","FAIL"))</f>
        <v/>
      </c>
      <c r="G191" s="11"/>
    </row>
    <row r="192" customFormat="false" ht="15" hidden="false" customHeight="false" outlineLevel="0" collapsed="false">
      <c r="A192" s="8" t="s">
        <v>125</v>
      </c>
      <c r="B192" s="9" t="s">
        <v>126</v>
      </c>
      <c r="C192" s="7" t="n">
        <v>100</v>
      </c>
      <c r="D192" s="7" t="n">
        <v>500</v>
      </c>
      <c r="E192" s="11"/>
      <c r="F192" s="7" t="str">
        <f aca="false">IF(E192="","",IF(E192&lt;=D192,"PASS","FAIL"))</f>
        <v/>
      </c>
      <c r="G192" s="11"/>
    </row>
    <row r="193" customFormat="false" ht="15" hidden="false" customHeight="false" outlineLevel="0" collapsed="false">
      <c r="A193" s="8" t="s">
        <v>127</v>
      </c>
      <c r="B193" s="9" t="s">
        <v>128</v>
      </c>
      <c r="C193" s="7" t="n">
        <v>100</v>
      </c>
      <c r="D193" s="7" t="n">
        <v>500</v>
      </c>
      <c r="E193" s="11"/>
      <c r="F193" s="7" t="str">
        <f aca="false">IF(E193="","",IF(E193&lt;=D193,"PASS","FAIL"))</f>
        <v/>
      </c>
      <c r="G193" s="11"/>
    </row>
    <row r="194" customFormat="false" ht="15" hidden="false" customHeight="false" outlineLevel="0" collapsed="false">
      <c r="A194" s="8" t="s">
        <v>129</v>
      </c>
      <c r="B194" s="9" t="s">
        <v>130</v>
      </c>
      <c r="C194" s="7" t="n">
        <v>150</v>
      </c>
      <c r="D194" s="7" t="n">
        <v>300</v>
      </c>
      <c r="E194" s="11"/>
      <c r="F194" s="7" t="str">
        <f aca="false">IF(E194="","",IF(E194&lt;=D194,"PASS","FAIL"))</f>
        <v/>
      </c>
      <c r="G194" s="11"/>
    </row>
    <row r="195" customFormat="false" ht="15" hidden="false" customHeight="false" outlineLevel="0" collapsed="false">
      <c r="A195" s="8" t="s">
        <v>131</v>
      </c>
      <c r="B195" s="9" t="s">
        <v>132</v>
      </c>
      <c r="C195" s="7" t="n">
        <v>150</v>
      </c>
      <c r="D195" s="7" t="n">
        <v>300</v>
      </c>
      <c r="E195" s="11"/>
      <c r="F195" s="7" t="str">
        <f aca="false">IF(E195="","",IF(E195&lt;=D195,"PASS","FAIL"))</f>
        <v/>
      </c>
      <c r="G195" s="11"/>
    </row>
    <row r="196" customFormat="false" ht="15" hidden="false" customHeight="false" outlineLevel="0" collapsed="false">
      <c r="A196" s="8" t="s">
        <v>133</v>
      </c>
      <c r="B196" s="9" t="s">
        <v>134</v>
      </c>
      <c r="C196" s="7" t="n">
        <v>150</v>
      </c>
      <c r="D196" s="7" t="n">
        <v>300</v>
      </c>
      <c r="E196" s="11"/>
      <c r="F196" s="7" t="str">
        <f aca="false">IF(E196="","",IF(E196&lt;=D196,"PASS","FAIL"))</f>
        <v/>
      </c>
      <c r="G196" s="11"/>
    </row>
    <row r="197" customFormat="false" ht="15" hidden="false" customHeight="false" outlineLevel="0" collapsed="false">
      <c r="A197" s="8" t="s">
        <v>135</v>
      </c>
      <c r="B197" s="9" t="s">
        <v>136</v>
      </c>
      <c r="C197" s="13"/>
      <c r="D197" s="7" t="s">
        <v>88</v>
      </c>
      <c r="E197" s="11"/>
      <c r="F197" s="11"/>
      <c r="G197" s="11"/>
    </row>
    <row r="198" customFormat="false" ht="15" hidden="false" customHeight="false" outlineLevel="0" collapsed="false">
      <c r="A198" s="8" t="s">
        <v>137</v>
      </c>
      <c r="B198" s="9" t="s">
        <v>138</v>
      </c>
      <c r="C198" s="13"/>
      <c r="D198" s="7" t="s">
        <v>88</v>
      </c>
      <c r="E198" s="11"/>
      <c r="F198" s="11"/>
      <c r="G198" s="11"/>
    </row>
    <row r="199" customFormat="false" ht="15" hidden="false" customHeight="false" outlineLevel="0" collapsed="false">
      <c r="A199" s="8" t="s">
        <v>139</v>
      </c>
      <c r="B199" s="9" t="s">
        <v>140</v>
      </c>
      <c r="C199" s="7" t="n">
        <v>700</v>
      </c>
      <c r="D199" s="7" t="n">
        <v>1000</v>
      </c>
      <c r="E199" s="11"/>
      <c r="F199" s="7" t="str">
        <f aca="false">IF(E199="","",IF(E199&lt;=D199,"PASS","FAIL"))</f>
        <v/>
      </c>
      <c r="G199" s="11"/>
    </row>
    <row r="200" customFormat="false" ht="15" hidden="false" customHeight="false" outlineLevel="0" collapsed="false">
      <c r="A200" s="8" t="s">
        <v>141</v>
      </c>
      <c r="B200" s="9" t="s">
        <v>142</v>
      </c>
      <c r="C200" s="13"/>
      <c r="D200" s="7" t="s">
        <v>88</v>
      </c>
      <c r="E200" s="11"/>
      <c r="F200" s="11"/>
      <c r="G200" s="11"/>
    </row>
  </sheetData>
  <mergeCells count="14">
    <mergeCell ref="A5:G5"/>
    <mergeCell ref="A19:G19"/>
    <mergeCell ref="A33:G33"/>
    <mergeCell ref="A47:G47"/>
    <mergeCell ref="A61:G61"/>
    <mergeCell ref="A75:G75"/>
    <mergeCell ref="A89:G89"/>
    <mergeCell ref="A103:G103"/>
    <mergeCell ref="A117:G117"/>
    <mergeCell ref="A131:G131"/>
    <mergeCell ref="A145:G145"/>
    <mergeCell ref="A159:G159"/>
    <mergeCell ref="A173:G173"/>
    <mergeCell ref="A187:G187"/>
  </mergeCells>
  <conditionalFormatting sqref="F5:F200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5:F16 F18 F29:F30 F32 F43:F44 F46 F57:F58 F60 F71:F72 F74 F85:F86 F88 F99:F100 F102 F113:F114 F116 F127:F128 F130 F141:F142 F144 F155:F156 F158 F169:F170 F172 F183:F184 F186 F197:F198 F200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156</v>
      </c>
    </row>
    <row r="3" customFormat="false" ht="15" hidden="false" customHeight="false" outlineLevel="0" collapsed="false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4" customFormat="false" ht="15" hidden="false" customHeight="false" outlineLevel="0" collapsed="false">
      <c r="A4" s="8" t="s">
        <v>157</v>
      </c>
      <c r="B4" s="9" t="s">
        <v>158</v>
      </c>
      <c r="C4" s="7" t="n">
        <v>50</v>
      </c>
      <c r="D4" s="7" t="n">
        <v>100</v>
      </c>
      <c r="E4" s="11"/>
      <c r="F4" s="7" t="str">
        <f aca="false">IF(E4="","",IF(E4&lt;=D4,"PASS","FAIL"))</f>
        <v/>
      </c>
      <c r="G4" s="12"/>
    </row>
    <row r="5" customFormat="false" ht="15" hidden="false" customHeight="false" outlineLevel="0" collapsed="false">
      <c r="A5" s="8" t="s">
        <v>159</v>
      </c>
      <c r="B5" s="9" t="s">
        <v>160</v>
      </c>
      <c r="C5" s="7" t="n">
        <v>16</v>
      </c>
      <c r="D5" s="7" t="n">
        <v>100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161</v>
      </c>
      <c r="B6" s="9" t="s">
        <v>162</v>
      </c>
      <c r="C6" s="7" t="n">
        <v>50</v>
      </c>
      <c r="D6" s="7" t="n">
        <v>100</v>
      </c>
      <c r="E6" s="11"/>
      <c r="F6" s="7" t="str">
        <f aca="false">IF(E6="","",IF(E6&lt;=D6,"PASS","FAIL"))</f>
        <v/>
      </c>
      <c r="G6" s="12"/>
    </row>
    <row r="7" customFormat="false" ht="15" hidden="false" customHeight="false" outlineLevel="0" collapsed="false">
      <c r="A7" s="8" t="s">
        <v>163</v>
      </c>
      <c r="B7" s="9" t="s">
        <v>164</v>
      </c>
      <c r="C7" s="7" t="n">
        <v>150</v>
      </c>
      <c r="D7" s="7" t="n">
        <v>250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165</v>
      </c>
      <c r="B8" s="9" t="s">
        <v>166</v>
      </c>
      <c r="C8" s="7" t="n">
        <v>50</v>
      </c>
      <c r="D8" s="7" t="n">
        <v>100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167</v>
      </c>
      <c r="B9" s="9" t="s">
        <v>168</v>
      </c>
      <c r="C9" s="7" t="n">
        <v>50</v>
      </c>
      <c r="D9" s="7" t="n">
        <v>100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169</v>
      </c>
      <c r="B10" s="9" t="s">
        <v>170</v>
      </c>
      <c r="C10" s="7" t="n">
        <v>100</v>
      </c>
      <c r="D10" s="7" t="n">
        <v>200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171</v>
      </c>
      <c r="B11" s="9" t="s">
        <v>172</v>
      </c>
      <c r="C11" s="13"/>
      <c r="D11" s="7" t="s">
        <v>88</v>
      </c>
      <c r="E11" s="11"/>
      <c r="F11" s="11"/>
      <c r="G11" s="12"/>
    </row>
    <row r="12" customFormat="false" ht="15" hidden="false" customHeight="false" outlineLevel="0" collapsed="false">
      <c r="A12" s="8" t="s">
        <v>173</v>
      </c>
      <c r="B12" s="9" t="s">
        <v>174</v>
      </c>
      <c r="C12" s="7" t="n">
        <v>300</v>
      </c>
      <c r="D12" s="7" t="n">
        <v>700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175</v>
      </c>
      <c r="B13" s="9" t="s">
        <v>176</v>
      </c>
      <c r="C13" s="7" t="n">
        <v>500</v>
      </c>
      <c r="D13" s="7" t="n">
        <v>1000</v>
      </c>
      <c r="E13" s="11"/>
      <c r="F13" s="7" t="str">
        <f aca="false">IF(E13="","",IF(E13&lt;=D13,"PASS","FAIL"))</f>
        <v/>
      </c>
      <c r="G13" s="12"/>
    </row>
    <row r="14" customFormat="false" ht="15" hidden="false" customHeight="false" outlineLevel="0" collapsed="false">
      <c r="A14" s="8" t="s">
        <v>177</v>
      </c>
      <c r="B14" s="9" t="s">
        <v>178</v>
      </c>
      <c r="C14" s="7" t="n">
        <v>300</v>
      </c>
      <c r="D14" s="7" t="n">
        <v>700</v>
      </c>
      <c r="E14" s="11"/>
      <c r="F14" s="7" t="str">
        <f aca="false">IF(E14="","",IF(E14&lt;=D14,"PASS","FAIL"))</f>
        <v/>
      </c>
      <c r="G14" s="12"/>
    </row>
    <row r="15" customFormat="false" ht="15" hidden="false" customHeight="false" outlineLevel="0" collapsed="false">
      <c r="A15" s="8" t="s">
        <v>179</v>
      </c>
      <c r="B15" s="9" t="s">
        <v>180</v>
      </c>
      <c r="C15" s="13"/>
      <c r="D15" s="7" t="s">
        <v>88</v>
      </c>
      <c r="E15" s="11"/>
      <c r="F15" s="11"/>
      <c r="G15" s="12"/>
    </row>
  </sheetData>
  <conditionalFormatting sqref="F4:F15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1 F15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181</v>
      </c>
    </row>
    <row r="3" customFormat="false" ht="15" hidden="false" customHeight="false" outlineLevel="0" collapsed="false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4" customFormat="false" ht="15" hidden="false" customHeight="false" outlineLevel="0" collapsed="false">
      <c r="A4" s="8" t="s">
        <v>182</v>
      </c>
      <c r="B4" s="9" t="s">
        <v>183</v>
      </c>
      <c r="C4" s="7" t="n">
        <v>50</v>
      </c>
      <c r="D4" s="7" t="n">
        <v>100</v>
      </c>
      <c r="E4" s="11"/>
      <c r="F4" s="7" t="str">
        <f aca="false">IF(E4="","",IF(E4&lt;=D4,"PASS","FAIL"))</f>
        <v/>
      </c>
      <c r="G4" s="12"/>
    </row>
    <row r="5" customFormat="false" ht="15" hidden="false" customHeight="false" outlineLevel="0" collapsed="false">
      <c r="A5" s="8" t="s">
        <v>184</v>
      </c>
      <c r="B5" s="9" t="s">
        <v>185</v>
      </c>
      <c r="C5" s="7" t="n">
        <v>150</v>
      </c>
      <c r="D5" s="7" t="n">
        <v>300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186</v>
      </c>
      <c r="B6" s="9" t="s">
        <v>187</v>
      </c>
      <c r="C6" s="7" t="n">
        <v>700</v>
      </c>
      <c r="D6" s="7" t="n">
        <v>1000</v>
      </c>
      <c r="E6" s="11"/>
      <c r="F6" s="7" t="str">
        <f aca="false">IF(E6="","",IF(E6&lt;=D6,"PASS","FAIL"))</f>
        <v/>
      </c>
      <c r="G6" s="12"/>
    </row>
    <row r="7" customFormat="false" ht="15" hidden="false" customHeight="false" outlineLevel="0" collapsed="false">
      <c r="A7" s="8" t="s">
        <v>188</v>
      </c>
      <c r="B7" s="9" t="s">
        <v>189</v>
      </c>
      <c r="C7" s="7" t="n">
        <v>1000</v>
      </c>
      <c r="D7" s="7" t="n">
        <v>1500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190</v>
      </c>
      <c r="B8" s="9" t="s">
        <v>191</v>
      </c>
      <c r="C8" s="7" t="n">
        <v>150</v>
      </c>
      <c r="D8" s="7" t="n">
        <v>250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192</v>
      </c>
      <c r="B9" s="9" t="s">
        <v>193</v>
      </c>
      <c r="C9" s="7" t="n">
        <v>150</v>
      </c>
      <c r="D9" s="7" t="n">
        <v>250</v>
      </c>
      <c r="E9" s="11"/>
      <c r="F9" s="7" t="str">
        <f aca="false">IF(E9="","",IF(E9&lt;=D9,"PASS","FAIL"))</f>
        <v/>
      </c>
      <c r="G9" s="12"/>
    </row>
    <row r="10" customFormat="false" ht="15" hidden="false" customHeight="false" outlineLevel="0" collapsed="false">
      <c r="A10" s="8" t="s">
        <v>194</v>
      </c>
      <c r="B10" s="9" t="s">
        <v>195</v>
      </c>
      <c r="C10" s="7" t="n">
        <v>150</v>
      </c>
      <c r="D10" s="7" t="n">
        <v>300</v>
      </c>
      <c r="E10" s="11"/>
      <c r="F10" s="7" t="str">
        <f aca="false">IF(E10="","",IF(E10&lt;=D10,"PASS","FAIL"))</f>
        <v/>
      </c>
      <c r="G10" s="12"/>
    </row>
    <row r="11" customFormat="false" ht="15" hidden="false" customHeight="false" outlineLevel="0" collapsed="false">
      <c r="A11" s="8" t="s">
        <v>196</v>
      </c>
      <c r="B11" s="9" t="s">
        <v>197</v>
      </c>
      <c r="C11" s="7" t="n">
        <v>100</v>
      </c>
      <c r="D11" s="7" t="n">
        <v>250</v>
      </c>
      <c r="E11" s="11"/>
      <c r="F11" s="7" t="str">
        <f aca="false">IF(E11="","",IF(E11&lt;=D11,"PASS","FAIL"))</f>
        <v/>
      </c>
      <c r="G11" s="12"/>
    </row>
    <row r="12" customFormat="false" ht="15" hidden="false" customHeight="false" outlineLevel="0" collapsed="false">
      <c r="A12" s="8" t="s">
        <v>198</v>
      </c>
      <c r="B12" s="9" t="s">
        <v>199</v>
      </c>
      <c r="C12" s="7" t="n">
        <v>100</v>
      </c>
      <c r="D12" s="7" t="n">
        <v>250</v>
      </c>
      <c r="E12" s="11"/>
      <c r="F12" s="7" t="str">
        <f aca="false">IF(E12="","",IF(E12&lt;=D12,"PASS","FAIL"))</f>
        <v/>
      </c>
      <c r="G12" s="12"/>
    </row>
    <row r="13" customFormat="false" ht="15" hidden="false" customHeight="false" outlineLevel="0" collapsed="false">
      <c r="A13" s="8" t="s">
        <v>200</v>
      </c>
      <c r="B13" s="9" t="s">
        <v>201</v>
      </c>
      <c r="C13" s="7" t="n">
        <v>150</v>
      </c>
      <c r="D13" s="7" t="n">
        <v>250</v>
      </c>
      <c r="E13" s="11"/>
      <c r="F13" s="7" t="str">
        <f aca="false">IF(E13="","",IF(E13&lt;=D13,"PASS","FAIL"))</f>
        <v/>
      </c>
      <c r="G13" s="12"/>
    </row>
    <row r="14" customFormat="false" ht="15" hidden="false" customHeight="false" outlineLevel="0" collapsed="false">
      <c r="A14" s="8" t="s">
        <v>202</v>
      </c>
      <c r="B14" s="9" t="s">
        <v>203</v>
      </c>
      <c r="C14" s="13"/>
      <c r="D14" s="7" t="s">
        <v>88</v>
      </c>
      <c r="E14" s="11"/>
      <c r="F14" s="11"/>
      <c r="G14" s="12"/>
    </row>
    <row r="15" customFormat="false" ht="15" hidden="false" customHeight="false" outlineLevel="0" collapsed="false">
      <c r="A15" s="8" t="s">
        <v>204</v>
      </c>
      <c r="B15" s="9" t="s">
        <v>205</v>
      </c>
      <c r="C15" s="13"/>
      <c r="D15" s="7" t="s">
        <v>88</v>
      </c>
      <c r="E15" s="11"/>
      <c r="F15" s="11"/>
      <c r="G15" s="12"/>
    </row>
  </sheetData>
  <conditionalFormatting sqref="F4:F15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4:F15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0" t="s">
        <v>206</v>
      </c>
    </row>
    <row r="2" customFormat="false" ht="15" hidden="false" customHeight="false" outlineLevel="0" collapsed="false">
      <c r="A2" s="4" t="s">
        <v>207</v>
      </c>
    </row>
    <row r="4" customFormat="false" ht="15" hidden="false" customHeight="false" outlineLevel="0" collapsed="false">
      <c r="A4" s="6" t="s">
        <v>63</v>
      </c>
      <c r="B4" s="6" t="s">
        <v>208</v>
      </c>
      <c r="C4" s="6" t="s">
        <v>209</v>
      </c>
      <c r="D4" s="6" t="s">
        <v>210</v>
      </c>
      <c r="E4" s="6" t="s">
        <v>68</v>
      </c>
      <c r="F4" s="6" t="s">
        <v>69</v>
      </c>
    </row>
    <row r="5" customFormat="false" ht="15" hidden="false" customHeight="false" outlineLevel="0" collapsed="false">
      <c r="A5" s="8" t="s">
        <v>211</v>
      </c>
      <c r="B5" s="7" t="s">
        <v>212</v>
      </c>
      <c r="C5" s="11"/>
      <c r="D5" s="7" t="str">
        <f aca="false">IF(C5="","",IF(C5&lt;100,"Excellent",IF(C5&lt;=200,"Acceptable",IF(C5&lt;=300,"Noticeable lag (P2)","FAIL"))))</f>
        <v/>
      </c>
      <c r="E5" s="7" t="str">
        <f aca="false">IF(C5="","",IF(C5&lt;=300,"PASS","FAIL"))</f>
        <v/>
      </c>
      <c r="F5" s="11"/>
    </row>
    <row r="6" customFormat="false" ht="15" hidden="false" customHeight="false" outlineLevel="0" collapsed="false">
      <c r="A6" s="8" t="s">
        <v>213</v>
      </c>
      <c r="B6" s="7" t="s">
        <v>214</v>
      </c>
      <c r="C6" s="11"/>
      <c r="D6" s="7" t="str">
        <f aca="false">IF(C6="","",IF(C6&lt;100,"Excellent",IF(C6&lt;=200,"Acceptable",IF(C6&lt;=300,"Noticeable lag (P2)","FAIL"))))</f>
        <v/>
      </c>
      <c r="E6" s="7" t="str">
        <f aca="false">IF(C6="","",IF(C6&lt;=300,"PASS","FAIL"))</f>
        <v/>
      </c>
      <c r="F6" s="11"/>
    </row>
    <row r="7" customFormat="false" ht="15" hidden="false" customHeight="false" outlineLevel="0" collapsed="false">
      <c r="A7" s="8" t="s">
        <v>215</v>
      </c>
      <c r="B7" s="7" t="s">
        <v>216</v>
      </c>
      <c r="C7" s="11"/>
      <c r="D7" s="7" t="str">
        <f aca="false">IF(C7="","",IF(C7&lt;100,"Excellent",IF(C7&lt;=200,"Acceptable",IF(C7&lt;=300,"Noticeable lag (P2)","FAIL"))))</f>
        <v/>
      </c>
      <c r="E7" s="7" t="str">
        <f aca="false">IF(C7="","",IF(C7&lt;=300,"PASS","FAIL"))</f>
        <v/>
      </c>
      <c r="F7" s="11"/>
    </row>
    <row r="8" customFormat="false" ht="15" hidden="false" customHeight="false" outlineLevel="0" collapsed="false">
      <c r="A8" s="8" t="s">
        <v>217</v>
      </c>
      <c r="B8" s="7" t="s">
        <v>218</v>
      </c>
      <c r="C8" s="11"/>
      <c r="D8" s="7" t="str">
        <f aca="false">IF(C8="","",IF(C8&lt;100,"Excellent",IF(C8&lt;=200,"Acceptable",IF(C8&lt;=300,"Noticeable lag (P2)","FAIL"))))</f>
        <v/>
      </c>
      <c r="E8" s="7" t="str">
        <f aca="false">IF(C8="","",IF(C8&lt;=300,"PASS","FAIL"))</f>
        <v/>
      </c>
      <c r="F8" s="11"/>
    </row>
    <row r="9" customFormat="false" ht="15" hidden="false" customHeight="false" outlineLevel="0" collapsed="false">
      <c r="A9" s="8" t="s">
        <v>219</v>
      </c>
      <c r="B9" s="7" t="s">
        <v>220</v>
      </c>
      <c r="C9" s="11"/>
      <c r="D9" s="7" t="str">
        <f aca="false">IF(C9="","",IF(C9&lt;100,"Excellent",IF(C9&lt;=200,"Acceptable",IF(C9&lt;=300,"Noticeable lag (P2)","FAIL"))))</f>
        <v/>
      </c>
      <c r="E9" s="7" t="str">
        <f aca="false">IF(C9="","",IF(C9&lt;=300,"PASS","FAIL"))</f>
        <v/>
      </c>
      <c r="F9" s="11"/>
    </row>
    <row r="10" customFormat="false" ht="15" hidden="false" customHeight="false" outlineLevel="0" collapsed="false">
      <c r="A10" s="8" t="s">
        <v>221</v>
      </c>
      <c r="B10" s="7" t="s">
        <v>222</v>
      </c>
      <c r="C10" s="11"/>
      <c r="D10" s="7" t="str">
        <f aca="false">IF(C10="","",IF(C10&lt;100,"Excellent",IF(C10&lt;=200,"Acceptable",IF(C10&lt;=300,"Noticeable lag (P2)","FAIL"))))</f>
        <v/>
      </c>
      <c r="E10" s="7" t="str">
        <f aca="false">IF(C10="","",IF(C10&lt;=300,"PASS","FAIL"))</f>
        <v/>
      </c>
      <c r="F10" s="11"/>
    </row>
    <row r="11" customFormat="false" ht="15" hidden="false" customHeight="false" outlineLevel="0" collapsed="false">
      <c r="A11" s="8" t="s">
        <v>223</v>
      </c>
      <c r="B11" s="7" t="s">
        <v>224</v>
      </c>
      <c r="C11" s="11"/>
      <c r="D11" s="7" t="str">
        <f aca="false">IF(C11="","",IF(C11&lt;100,"Excellent",IF(C11&lt;=200,"Acceptable",IF(C11&lt;=300,"Noticeable lag (P2)","FAIL"))))</f>
        <v/>
      </c>
      <c r="E11" s="7" t="str">
        <f aca="false">IF(C11="","",IF(C11&lt;=300,"PASS","FAIL"))</f>
        <v/>
      </c>
      <c r="F11" s="11"/>
    </row>
    <row r="12" customFormat="false" ht="15" hidden="false" customHeight="false" outlineLevel="0" collapsed="false">
      <c r="A12" s="8" t="s">
        <v>225</v>
      </c>
      <c r="B12" s="7" t="s">
        <v>226</v>
      </c>
      <c r="C12" s="11"/>
      <c r="D12" s="7" t="str">
        <f aca="false">IF(C12="","",IF(C12&lt;100,"Excellent",IF(C12&lt;=200,"Acceptable",IF(C12&lt;=300,"Noticeable lag (P2)","FAIL"))))</f>
        <v/>
      </c>
      <c r="E12" s="7" t="str">
        <f aca="false">IF(C12="","",IF(C12&lt;=300,"PASS","FAIL"))</f>
        <v/>
      </c>
      <c r="F12" s="11"/>
    </row>
    <row r="13" customFormat="false" ht="15" hidden="false" customHeight="false" outlineLevel="0" collapsed="false">
      <c r="A13" s="8" t="s">
        <v>227</v>
      </c>
      <c r="B13" s="7" t="s">
        <v>228</v>
      </c>
      <c r="C13" s="11"/>
      <c r="D13" s="7" t="str">
        <f aca="false">IF(C13="","",IF(C13&lt;100,"Excellent",IF(C13&lt;=200,"Acceptable",IF(C13&lt;=300,"Noticeable lag (P2)","FAIL"))))</f>
        <v/>
      </c>
      <c r="E13" s="7" t="str">
        <f aca="false">IF(C13="","",IF(C13&lt;=300,"PASS","FAIL"))</f>
        <v/>
      </c>
      <c r="F13" s="11"/>
    </row>
    <row r="14" customFormat="false" ht="15" hidden="false" customHeight="false" outlineLevel="0" collapsed="false">
      <c r="A14" s="8" t="s">
        <v>229</v>
      </c>
      <c r="B14" s="7" t="s">
        <v>230</v>
      </c>
      <c r="C14" s="11"/>
      <c r="D14" s="7" t="str">
        <f aca="false">IF(C14="","",IF(C14&lt;100,"Excellent",IF(C14&lt;=200,"Acceptable",IF(C14&lt;=300,"Noticeable lag (P2)","FAIL"))))</f>
        <v/>
      </c>
      <c r="E14" s="7" t="str">
        <f aca="false">IF(C14="","",IF(C14&lt;=300,"PASS","FAIL"))</f>
        <v/>
      </c>
      <c r="F14" s="11"/>
    </row>
    <row r="15" customFormat="false" ht="15" hidden="false" customHeight="false" outlineLevel="0" collapsed="false">
      <c r="A15" s="8" t="s">
        <v>231</v>
      </c>
      <c r="B15" s="7" t="s">
        <v>232</v>
      </c>
      <c r="C15" s="11"/>
      <c r="D15" s="7" t="str">
        <f aca="false">IF(C15="","",IF(C15&lt;100,"Excellent",IF(C15&lt;=200,"Acceptable",IF(C15&lt;=300,"Noticeable lag (P2)","FAIL"))))</f>
        <v/>
      </c>
      <c r="E15" s="7" t="str">
        <f aca="false">IF(C15="","",IF(C15&lt;=300,"PASS","FAIL"))</f>
        <v/>
      </c>
      <c r="F15" s="11"/>
    </row>
    <row r="16" customFormat="false" ht="15" hidden="false" customHeight="false" outlineLevel="0" collapsed="false">
      <c r="A16" s="8" t="s">
        <v>233</v>
      </c>
      <c r="B16" s="7" t="s">
        <v>234</v>
      </c>
      <c r="C16" s="11"/>
      <c r="D16" s="7" t="str">
        <f aca="false">IF(C16="","",IF(C16&lt;100,"Excellent",IF(C16&lt;=200,"Acceptable",IF(C16&lt;=300,"Noticeable lag (P2)","FAIL"))))</f>
        <v/>
      </c>
      <c r="E16" s="7" t="str">
        <f aca="false">IF(C16="","",IF(C16&lt;=300,"PASS","FAIL"))</f>
        <v/>
      </c>
      <c r="F16" s="11"/>
    </row>
    <row r="17" customFormat="false" ht="15" hidden="false" customHeight="false" outlineLevel="0" collapsed="false">
      <c r="A17" s="8" t="s">
        <v>235</v>
      </c>
      <c r="B17" s="7" t="s">
        <v>236</v>
      </c>
      <c r="C17" s="11"/>
      <c r="D17" s="7" t="str">
        <f aca="false">IF(C17="","",IF(C17&lt;100,"Excellent",IF(C17&lt;=200,"Acceptable",IF(C17&lt;=300,"Noticeable lag (P2)","FAIL"))))</f>
        <v/>
      </c>
      <c r="E17" s="7" t="str">
        <f aca="false">IF(C17="","",IF(C17&lt;=300,"PASS","FAIL"))</f>
        <v/>
      </c>
      <c r="F17" s="11"/>
    </row>
  </sheetData>
  <conditionalFormatting sqref="E5:E17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conditionalFormatting sqref="D5:D17">
    <cfRule type="cellIs" priority="6" operator="equal" aboveAverage="0" equalAverage="0" bottom="0" percent="0" rank="0" text="" dxfId="0">
      <formula>"FAIL"</formula>
    </cfRule>
    <cfRule type="cellIs" priority="7" operator="equal" aboveAverage="0" equalAverage="0" bottom="0" percent="0" rank="0" text="" dxfId="2">
      <formula>"Noticeable lag (P2)"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0" t="s">
        <v>237</v>
      </c>
    </row>
    <row r="3" customFormat="false" ht="15" hidden="false" customHeight="false" outlineLevel="0" collapsed="false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4" customFormat="false" ht="15" hidden="false" customHeight="false" outlineLevel="0" collapsed="false">
      <c r="A4" s="8" t="s">
        <v>238</v>
      </c>
      <c r="B4" s="9" t="s">
        <v>239</v>
      </c>
      <c r="C4" s="13"/>
      <c r="D4" s="7" t="n">
        <v>100</v>
      </c>
      <c r="E4" s="11"/>
      <c r="F4" s="7" t="str">
        <f aca="false">IF(E4="","",IF(E4&lt;=D4,"PASS","FAIL"))</f>
        <v/>
      </c>
      <c r="G4" s="12"/>
    </row>
    <row r="5" customFormat="false" ht="15" hidden="false" customHeight="false" outlineLevel="0" collapsed="false">
      <c r="A5" s="8" t="s">
        <v>240</v>
      </c>
      <c r="B5" s="9" t="s">
        <v>241</v>
      </c>
      <c r="C5" s="13"/>
      <c r="D5" s="7" t="n">
        <v>500</v>
      </c>
      <c r="E5" s="11"/>
      <c r="F5" s="7" t="str">
        <f aca="false">IF(E5="","",IF(E5&lt;=D5,"PASS","FAIL"))</f>
        <v/>
      </c>
      <c r="G5" s="12"/>
    </row>
    <row r="6" customFormat="false" ht="15" hidden="false" customHeight="false" outlineLevel="0" collapsed="false">
      <c r="A6" s="8" t="s">
        <v>242</v>
      </c>
      <c r="B6" s="9" t="s">
        <v>243</v>
      </c>
      <c r="C6" s="13"/>
      <c r="D6" s="7" t="n">
        <v>700</v>
      </c>
      <c r="E6" s="11"/>
      <c r="F6" s="7" t="str">
        <f aca="false">IF(E6="","",IF(E6&lt;=D6,"PASS","FAIL"))</f>
        <v/>
      </c>
      <c r="G6" s="12"/>
    </row>
    <row r="7" customFormat="false" ht="15" hidden="false" customHeight="false" outlineLevel="0" collapsed="false">
      <c r="A7" s="8" t="s">
        <v>244</v>
      </c>
      <c r="B7" s="9" t="s">
        <v>245</v>
      </c>
      <c r="C7" s="13"/>
      <c r="D7" s="7" t="n">
        <v>1000</v>
      </c>
      <c r="E7" s="11"/>
      <c r="F7" s="7" t="str">
        <f aca="false">IF(E7="","",IF(E7&lt;=D7,"PASS","FAIL"))</f>
        <v/>
      </c>
      <c r="G7" s="12"/>
    </row>
    <row r="8" customFormat="false" ht="15" hidden="false" customHeight="false" outlineLevel="0" collapsed="false">
      <c r="A8" s="8" t="s">
        <v>246</v>
      </c>
      <c r="B8" s="9" t="s">
        <v>247</v>
      </c>
      <c r="C8" s="13"/>
      <c r="D8" s="7" t="n">
        <v>1000</v>
      </c>
      <c r="E8" s="11"/>
      <c r="F8" s="7" t="str">
        <f aca="false">IF(E8="","",IF(E8&lt;=D8,"PASS","FAIL"))</f>
        <v/>
      </c>
      <c r="G8" s="12"/>
    </row>
    <row r="9" customFormat="false" ht="15" hidden="false" customHeight="false" outlineLevel="0" collapsed="false">
      <c r="A9" s="8" t="s">
        <v>248</v>
      </c>
      <c r="B9" s="9" t="s">
        <v>249</v>
      </c>
      <c r="C9" s="13"/>
      <c r="D9" s="7" t="n">
        <v>2000</v>
      </c>
      <c r="E9" s="11"/>
      <c r="F9" s="7" t="str">
        <f aca="false">IF(E9="","",IF(E9&lt;=D9,"PASS","FAIL"))</f>
        <v/>
      </c>
      <c r="G9" s="12"/>
    </row>
    <row r="11" customFormat="false" ht="15" hidden="false" customHeight="false" outlineLevel="0" collapsed="false">
      <c r="A11" s="2" t="s">
        <v>250</v>
      </c>
    </row>
    <row r="12" customFormat="false" ht="15" hidden="false" customHeight="false" outlineLevel="0" collapsed="false">
      <c r="B12" s="9" t="s">
        <v>251</v>
      </c>
      <c r="C12" s="13"/>
      <c r="D12" s="13"/>
      <c r="E12" s="13"/>
      <c r="F12" s="11"/>
      <c r="G12" s="11"/>
    </row>
    <row r="13" customFormat="false" ht="15" hidden="false" customHeight="false" outlineLevel="0" collapsed="false">
      <c r="B13" s="9" t="s">
        <v>252</v>
      </c>
      <c r="C13" s="13"/>
      <c r="D13" s="13"/>
      <c r="E13" s="13"/>
      <c r="F13" s="11"/>
      <c r="G13" s="11"/>
    </row>
    <row r="14" customFormat="false" ht="15" hidden="false" customHeight="false" outlineLevel="0" collapsed="false">
      <c r="B14" s="9" t="s">
        <v>253</v>
      </c>
      <c r="C14" s="13"/>
      <c r="D14" s="13"/>
      <c r="E14" s="13"/>
      <c r="F14" s="11"/>
      <c r="G14" s="11"/>
    </row>
    <row r="15" customFormat="false" ht="15" hidden="false" customHeight="false" outlineLevel="0" collapsed="false">
      <c r="B15" s="9" t="s">
        <v>254</v>
      </c>
      <c r="C15" s="13"/>
      <c r="D15" s="13"/>
      <c r="E15" s="13"/>
      <c r="F15" s="11"/>
      <c r="G15" s="11"/>
    </row>
    <row r="16" customFormat="false" ht="23.85" hidden="false" customHeight="false" outlineLevel="0" collapsed="false">
      <c r="B16" s="9" t="s">
        <v>255</v>
      </c>
      <c r="C16" s="13"/>
      <c r="D16" s="13"/>
      <c r="E16" s="13"/>
      <c r="F16" s="11"/>
      <c r="G16" s="11"/>
    </row>
    <row r="17" customFormat="false" ht="15" hidden="false" customHeight="false" outlineLevel="0" collapsed="false">
      <c r="B17" s="9" t="s">
        <v>256</v>
      </c>
      <c r="C17" s="13"/>
      <c r="D17" s="13"/>
      <c r="E17" s="13"/>
      <c r="F17" s="11"/>
      <c r="G17" s="11"/>
    </row>
    <row r="18" customFormat="false" ht="15" hidden="false" customHeight="false" outlineLevel="0" collapsed="false">
      <c r="B18" s="9" t="s">
        <v>257</v>
      </c>
      <c r="C18" s="13"/>
      <c r="D18" s="13"/>
      <c r="E18" s="13"/>
      <c r="F18" s="11"/>
      <c r="G18" s="11"/>
    </row>
    <row r="19" customFormat="false" ht="15" hidden="false" customHeight="false" outlineLevel="0" collapsed="false">
      <c r="B19" s="9" t="s">
        <v>258</v>
      </c>
      <c r="C19" s="13"/>
      <c r="D19" s="13"/>
      <c r="E19" s="13"/>
      <c r="F19" s="11"/>
      <c r="G19" s="11"/>
    </row>
    <row r="20" customFormat="false" ht="15" hidden="false" customHeight="false" outlineLevel="0" collapsed="false">
      <c r="B20" s="9" t="s">
        <v>259</v>
      </c>
      <c r="C20" s="13"/>
      <c r="D20" s="13"/>
      <c r="E20" s="13"/>
      <c r="F20" s="11"/>
      <c r="G20" s="11"/>
    </row>
    <row r="21" customFormat="false" ht="15" hidden="false" customHeight="false" outlineLevel="0" collapsed="false">
      <c r="B21" s="9" t="s">
        <v>260</v>
      </c>
      <c r="C21" s="13"/>
      <c r="D21" s="13"/>
      <c r="E21" s="13"/>
      <c r="F21" s="11"/>
      <c r="G21" s="11"/>
    </row>
    <row r="22" customFormat="false" ht="15" hidden="false" customHeight="false" outlineLevel="0" collapsed="false">
      <c r="B22" s="9" t="s">
        <v>261</v>
      </c>
      <c r="C22" s="13"/>
      <c r="D22" s="13"/>
      <c r="E22" s="13"/>
      <c r="F22" s="11"/>
      <c r="G22" s="11"/>
    </row>
  </sheetData>
  <conditionalFormatting sqref="F4:F9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  <cfRule type="cellIs" priority="4" operator="equal" aboveAverage="0" equalAverage="0" bottom="0" percent="0" rank="0" text="" dxfId="0">
      <formula>"NO"</formula>
    </cfRule>
    <cfRule type="cellIs" priority="5" operator="equal" aboveAverage="0" equalAverage="0" bottom="0" percent="0" rank="0" text="" dxfId="1">
      <formula>"YES"</formula>
    </cfRule>
  </conditionalFormatting>
  <conditionalFormatting sqref="F12:F22">
    <cfRule type="cellIs" priority="6" operator="equal" aboveAverage="0" equalAverage="0" bottom="0" percent="0" rank="0" text="" dxfId="0">
      <formula>"FAIL"</formula>
    </cfRule>
    <cfRule type="cellIs" priority="7" operator="equal" aboveAverage="0" equalAverage="0" bottom="0" percent="0" rank="0" text="" dxfId="1">
      <formula>"PASS"</formula>
    </cfRule>
    <cfRule type="cellIs" priority="8" operator="equal" aboveAverage="0" equalAverage="0" bottom="0" percent="0" rank="0" text="" dxfId="0">
      <formula>"NO"</formula>
    </cfRule>
    <cfRule type="cellIs" priority="9" operator="equal" aboveAverage="0" equalAverage="0" bottom="0" percent="0" rank="0" text="" dxfId="1">
      <formula>"YES"</formula>
    </cfRule>
  </conditionalFormatting>
  <dataValidations count="1">
    <dataValidation allowBlank="true" errorStyle="stop" operator="between" showDropDown="false" showErrorMessage="false" showInputMessage="false" sqref="F12:F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2026-07-20T23:32:59Z</dcterms:created>
  <dc:creator>openpyxl</dc:creator>
  <dc:description/>
  <dc:language>en-US</dc:language>
  <cp:lastModifiedBy/>
  <dcterms:modified xsi:type="dcterms:W3CDTF">2026-07-20T23:33:00Z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