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Overview" sheetId="1" state="visible" r:id="rId1"/>
    <sheet name="Performance" sheetId="2" state="visible" r:id="rId2"/>
    <sheet name="App-wide" sheetId="3" state="visible" r:id="rId3"/>
    <sheet name="CRUD" sheetId="4" state="visible" r:id="rId4"/>
    <sheet name="Chat" sheetId="5" state="visible" r:id="rId5"/>
    <sheet name="Navigation" sheetId="6" state="visible" r:id="rId6"/>
    <sheet name="Dashboard-Sync" sheetId="7" state="visible" r:id="rId7"/>
    <sheet name="Popups-Micro" sheetId="8" state="visible" r:id="rId8"/>
    <sheet name="Findings" sheetId="9" state="visible" r:id="rId9"/>
  </sheets>
  <definedNames>
    <definedName name="_xlnm._FilterDatabase" localSheetId="1" hidden="1">'Performance'!$B$2:$I$20</definedName>
    <definedName name="_xlnm._FilterDatabase" localSheetId="2" hidden="1">'App-wide'!$B$2:$I$12</definedName>
    <definedName name="_xlnm._FilterDatabase" localSheetId="3" hidden="1">'CRUD'!$B$2:$I$54</definedName>
    <definedName name="_xlnm._FilterDatabase" localSheetId="4" hidden="1">'Chat'!$B$2:$I$18</definedName>
    <definedName name="_xlnm._FilterDatabase" localSheetId="5" hidden="1">'Navigation'!$B$2:$I$11</definedName>
    <definedName name="_xlnm._FilterDatabase" localSheetId="6" hidden="1">'Dashboard-Sync'!$B$2:$I$12</definedName>
    <definedName name="_xlnm._FilterDatabase" localSheetId="7" hidden="1">'Popups-Micro'!$B$2:$I$15</definedName>
    <definedName name="_xlnm._FilterDatabase" localSheetId="8" hidden="1">'Findings'!$B$2:$H$23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28251D"/>
      <sz val="16"/>
    </font>
    <font>
      <name val="Calibri"/>
      <charset val="1"/>
      <family val="0"/>
      <i val="1"/>
      <color rgb="FF7A7974"/>
      <sz val="11"/>
    </font>
    <font>
      <name val="Calibri"/>
      <charset val="1"/>
      <family val="0"/>
      <b val="1"/>
      <sz val="13"/>
    </font>
    <font>
      <name val="Calibri"/>
      <charset val="1"/>
      <family val="0"/>
      <sz val="11"/>
    </font>
    <font>
      <name val="Calibri"/>
      <charset val="1"/>
      <family val="0"/>
      <b val="1"/>
      <sz val="11"/>
    </font>
    <font>
      <name val="Calibri"/>
      <charset val="1"/>
      <family val="0"/>
      <b val="1"/>
      <color rgb="FFFFFFFF"/>
      <sz val="11"/>
    </font>
    <font>
      <name val="Calibri"/>
      <b val="1"/>
      <sz val="11"/>
    </font>
    <font>
      <name val="Calibri"/>
      <sz val="10"/>
    </font>
    <font>
      <name val="Calibri"/>
      <b val="1"/>
      <sz val="13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FF1B474D"/>
        <bgColor rgb="FF28251D"/>
      </patternFill>
    </fill>
    <fill>
      <patternFill patternType="solid">
        <fgColor rgb="FFF5F4EE"/>
        <bgColor rgb="FFFFFFFF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12" fillId="0" borderId="0" pivotButton="0" quotePrefix="0" xfId="0"/>
    <xf numFmtId="0" fontId="13" fillId="0" borderId="0" pivotButton="0" quotePrefix="0" xfId="0"/>
    <xf numFmtId="0" fontId="10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10" fillId="4" borderId="0" pivotButton="0" quotePrefix="0" xfId="0"/>
    <xf numFmtId="0" fontId="11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general" vertical="top" wrapText="1"/>
    </xf>
    <xf numFmtId="0" fontId="10" fillId="5" borderId="0" pivotButton="0" quotePrefix="0" xfId="0"/>
    <xf numFmtId="0" fontId="10" fillId="6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1">
    <dxf>
      <fill>
        <patternFill patternType="solid">
          <fgColor rgb="FF1B474D"/>
          <bgColor rgb="FF000000"/>
        </patternFill>
      </fill>
    </dxf>
    <dxf>
      <fill>
        <patternFill patternType="solid">
          <fgColor rgb="FFF5F4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8E9C5"/>
          <bgColor rgb="FF000000"/>
        </patternFill>
      </fill>
    </dxf>
    <dxf>
      <fill>
        <patternFill patternType="solid">
          <fgColor rgb="FFE8E7E4"/>
          <bgColor rgb="FF000000"/>
        </patternFill>
      </fill>
    </dxf>
    <dxf>
      <fill>
        <patternFill patternType="solid">
          <fgColor rgb="FFEFC9DE"/>
          <bgColor rgb="FF000000"/>
        </patternFill>
      </fill>
    </dxf>
    <dxf>
      <fill>
        <patternFill patternType="solid">
          <fgColor rgb="FFF4D9BE"/>
          <bgColor rgb="FF000000"/>
        </patternFill>
      </fill>
    </dxf>
    <dxf>
      <fill>
        <patternFill patternType="solid">
          <fgColor rgb="FF437A22"/>
          <bgColor rgb="FF000000"/>
        </patternFill>
      </fill>
    </dxf>
    <dxf>
      <fill>
        <patternFill patternType="solid">
          <fgColor rgb="FF7A7974"/>
          <bgColor rgb="FF000000"/>
        </patternFill>
      </fill>
    </dxf>
    <dxf>
      <fill>
        <patternFill patternType="solid">
          <fgColor rgb="FF964219"/>
          <bgColor rgb="FF000000"/>
        </patternFill>
      </fill>
    </dxf>
    <dxf>
      <fill>
        <patternFill patternType="solid">
          <fgColor rgb="FFA12C7B"/>
          <bgColor rgb="FF000000"/>
        </patternFill>
      </fill>
    </dxf>
    <dxf>
      <fill>
        <patternFill patternType="solid">
          <fgColor rgb="FFE4EDD9"/>
          <bgColor rgb="FF000000"/>
        </patternFill>
      </fill>
    </dxf>
    <dxf>
      <fill>
        <patternFill patternType="solid">
          <fgColor rgb="FFF6E9C6"/>
          <bgColor rgb="FF000000"/>
        </patternFill>
      </fill>
    </dxf>
    <dxf>
      <fill>
        <patternFill patternType="solid">
          <fgColor rgb="FF6B5A18"/>
          <bgColor rgb="FF000000"/>
        </patternFill>
      </fill>
    </dxf>
    <dxf>
      <font>
        <name val="Calibri"/>
        <charset val="1"/>
        <family val="0"/>
        <b val="1"/>
        <color rgb="FF437A22"/>
        <sz val="11"/>
      </font>
      <fill>
        <patternFill>
          <bgColor rgb="FFD8E9C5"/>
        </patternFill>
      </fill>
    </dxf>
    <dxf>
      <font>
        <name val="Calibri"/>
        <charset val="1"/>
        <family val="0"/>
        <b val="1"/>
        <color rgb="FF964219"/>
        <sz val="11"/>
      </font>
      <fill>
        <patternFill>
          <bgColor rgb="FFF4D9BE"/>
        </patternFill>
      </fill>
    </dxf>
    <dxf>
      <font>
        <name val="Calibri"/>
        <charset val="1"/>
        <family val="0"/>
        <b val="1"/>
        <color rgb="FFA12C7B"/>
        <sz val="11"/>
      </font>
      <fill>
        <patternFill>
          <bgColor rgb="FFEFC9DE"/>
        </patternFill>
      </fill>
    </dxf>
    <dxf>
      <font>
        <name val="Calibri"/>
        <charset val="1"/>
        <family val="0"/>
        <i val="1"/>
        <color rgb="FF7A7974"/>
        <sz val="11"/>
      </font>
      <fill>
        <patternFill>
          <bgColor rgb="FFE8E7E4"/>
        </patternFill>
      </fill>
    </dxf>
    <dxf>
      <font>
        <name val="Calibri"/>
        <charset val="1"/>
        <family val="0"/>
        <b val="1"/>
        <color rgb="FF6B5A18"/>
        <sz val="11"/>
      </font>
      <fill>
        <patternFill>
          <bgColor rgb="FFF6E9C6"/>
        </patternFill>
      </fill>
    </dxf>
    <dxf>
      <font>
        <name val="Calibri"/>
        <charset val="1"/>
        <family val="0"/>
        <b val="1"/>
        <color rgb="FF437A22"/>
        <sz val="11"/>
      </font>
      <fill>
        <patternFill>
          <bgColor rgb="FFE4ED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5A18"/>
      <rgbColor rgb="FF800080"/>
      <rgbColor rgb="FF008080"/>
      <rgbColor rgb="FFD4D1CA"/>
      <rgbColor rgb="FF7A7974"/>
      <rgbColor rgb="FF9999FF"/>
      <rgbColor rgb="FFA12C7B"/>
      <rgbColor rgb="FFF5F4EE"/>
      <rgbColor rgb="FFE4EDD9"/>
      <rgbColor rgb="FF660066"/>
      <rgbColor rgb="FFFF8080"/>
      <rgbColor rgb="FF0066CC"/>
      <rgbColor rgb="FFEFC9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7E4"/>
      <rgbColor rgb="FFD8E9C5"/>
      <rgbColor rgb="FFF6E9C6"/>
      <rgbColor rgb="FF99CCFF"/>
      <rgbColor rgb="FFFF99CC"/>
      <rgbColor rgb="FFCC99FF"/>
      <rgbColor rgb="FFF4D9B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474D"/>
      <rgbColor rgb="FF437A22"/>
      <rgbColor rgb="FF003300"/>
      <rgbColor rgb="FF333300"/>
      <rgbColor rgb="FF964219"/>
      <rgbColor rgb="FF993366"/>
      <rgbColor rgb="FF333399"/>
      <rgbColor rgb="FF28251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I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12" min="1" max="1"/>
  </cols>
  <sheetData>
    <row r="2" ht="25.5" customHeight="1" s="13">
      <c r="B2" s="14" t="inlineStr">
        <is>
          <t>Portol.me — Full-App QA Scorecard</t>
        </is>
      </c>
    </row>
    <row r="3" ht="15" customHeight="1" s="13">
      <c r="B3" s="15" t="inlineStr">
        <is>
          <t>Repo: github.com/tronmooo/portal · Diagnosed 2026-07-20 · Stack: Vite + React 18 + wouter + TanStack Query 5 + Supabase + Express (Vercel pdx1) + Capacitor iOS + PWA</t>
        </is>
      </c>
    </row>
    <row r="5" ht="16.15" customHeight="1" s="13">
      <c r="B5" s="16" t="inlineStr">
        <is>
          <t>Headline</t>
        </is>
      </c>
    </row>
    <row r="6" ht="15" customHeight="1" s="13">
      <c r="B6" s="17" t="inlineStr">
        <is>
          <t>Total scored actions</t>
        </is>
      </c>
      <c r="C6" s="18">
        <f>COUNTIF(Performance!F:F,"*")+COUNTIF('App-wide'!F:F,"*")+COUNTIF(CRUD!F:F,"*")+COUNTIF(Chat!F:F,"*")+COUNTIF(Navigation!F:F,"*")+COUNTIF('Dashboard-Sync'!F:F,"*")+COUNTIF('Popups-Micro'!F:F,"*")-7</f>
        <v/>
      </c>
    </row>
    <row r="7" ht="15" customHeight="1" s="13">
      <c r="B7" s="17" t="inlineStr">
        <is>
          <t>PASS</t>
        </is>
      </c>
      <c r="C7" s="18">
        <f>COUNTIF(Performance!F:F,"PASS")+COUNTIF('App-wide'!F:F,"PASS")+COUNTIF(CRUD!F:F,"PASS")+COUNTIF(Chat!F:F,"PASS")+COUNTIF(Navigation!F:F,"PASS")+COUNTIF('Dashboard-Sync'!F:F,"PASS")+COUNTIF('Popups-Micro'!F:F,"PASS")</f>
        <v/>
      </c>
    </row>
    <row r="8" ht="15" customHeight="1" s="13">
      <c r="B8" s="17" t="inlineStr">
        <is>
          <t>AT RISK</t>
        </is>
      </c>
      <c r="C8" s="18">
        <f>COUNTIF(Performance!F:F,"AT RISK")+COUNTIF('App-wide'!F:F,"AT RISK")+COUNTIF(CRUD!F:F,"AT RISK")+COUNTIF(Chat!F:F,"AT RISK")+COUNTIF(Navigation!F:F,"AT RISK")+COUNTIF('Dashboard-Sync'!F:F,"AT RISK")+COUNTIF('Popups-Micro'!F:F,"AT RISK")</f>
        <v/>
      </c>
    </row>
    <row r="9" ht="15" customHeight="1" s="13">
      <c r="B9" s="17" t="inlineStr">
        <is>
          <t>FAIL</t>
        </is>
      </c>
      <c r="C9" s="18">
        <f>COUNTIF(Performance!F:F,"FAIL")+COUNTIF('App-wide'!F:F,"FAIL")+COUNTIF(CRUD!F:F,"FAIL")+COUNTIF(Chat!F:F,"FAIL")+COUNTIF(Navigation!F:F,"FAIL")+COUNTIF('Dashboard-Sync'!F:F,"FAIL")+COUNTIF('Popups-Micro'!F:F,"FAIL")</f>
        <v/>
      </c>
    </row>
    <row r="10" ht="15" customHeight="1" s="13">
      <c r="B10" s="17" t="inlineStr">
        <is>
          <t>UNVERIFIED (needs live test)</t>
        </is>
      </c>
      <c r="C10" s="18">
        <f>COUNTIF(Performance!F:F,"UNVERIFIED")+COUNTIF('App-wide'!F:F,"UNVERIFIED")+COUNTIF(CRUD!F:F,"UNVERIFIED")+COUNTIF(Chat!F:F,"UNVERIFIED")+COUNTIF(Navigation!F:F,"UNVERIFIED")+COUNTIF('Dashboard-Sync'!F:F,"UNVERIFIED")+COUNTIF('Popups-Micro'!F:F,"UNVERIFIED")</f>
        <v/>
      </c>
    </row>
    <row r="13" ht="16.15" customHeight="1" s="13">
      <c r="B13" s="16" t="inlineStr">
        <is>
          <t>Severity</t>
        </is>
      </c>
    </row>
    <row r="14" ht="30" customHeight="1" s="13">
      <c r="B14" s="19" t="inlineStr">
        <is>
          <t>P0</t>
        </is>
      </c>
      <c r="C14" s="20" t="inlineStr">
        <is>
          <t>Data corruption / cross-profile leakage / delete fails / duplicate creation / wrong dashboard totals / wrong calendar writes</t>
        </is>
      </c>
    </row>
    <row r="15" ht="30" customHeight="1" s="13">
      <c r="B15" s="19" t="inlineStr">
        <is>
          <t>P1</t>
        </is>
      </c>
      <c r="C15" s="20" t="inlineStr">
        <is>
          <t>Mutation succeeds but UI doesn't update immediately; stale data; chat item in wrong place; modal hangs &gt; 500ms</t>
        </is>
      </c>
    </row>
    <row r="16" ht="30" customHeight="1" s="13">
      <c r="B16" s="19" t="inlineStr">
        <is>
          <t>P2</t>
        </is>
      </c>
      <c r="C16" s="20" t="inlineStr">
        <is>
          <t>Small noticeable lag; animation hitch; delayed badge; dropdown sluggishness &gt; 200ms</t>
        </is>
      </c>
    </row>
    <row r="17" ht="30" customHeight="1" s="13">
      <c r="B17" s="19" t="inlineStr">
        <is>
          <t>P3</t>
        </is>
      </c>
      <c r="C17" s="20" t="inlineStr">
        <is>
          <t>Cosmetic micro-jank</t>
        </is>
      </c>
    </row>
    <row r="19" ht="16.15" customHeight="1" s="13">
      <c r="B19" s="16" t="inlineStr">
        <is>
          <t>Verdict</t>
        </is>
      </c>
    </row>
    <row r="20" ht="30" customHeight="1" s="13">
      <c r="B20" s="19" t="inlineStr">
        <is>
          <t>PASS</t>
        </is>
      </c>
      <c r="C20" s="20" t="inlineStr">
        <is>
          <t>Code inspection shows the behavior meets its target.</t>
        </is>
      </c>
    </row>
    <row r="21" ht="30" customHeight="1" s="13">
      <c r="B21" s="19" t="inlineStr">
        <is>
          <t>AT RISK</t>
        </is>
      </c>
      <c r="C21" s="20" t="inlineStr">
        <is>
          <t>Code inspection shows a plausible failure mode under load or edge conditions — needs live measurement.</t>
        </is>
      </c>
    </row>
    <row r="22" ht="30" customHeight="1" s="13">
      <c r="B22" s="19" t="inlineStr">
        <is>
          <t>FAIL</t>
        </is>
      </c>
      <c r="C22" s="20" t="inlineStr">
        <is>
          <t>Code inspection shows the behavior structurally cannot meet its target.</t>
        </is>
      </c>
    </row>
    <row r="23" ht="30" customHeight="1" s="13">
      <c r="B23" s="19" t="inlineStr">
        <is>
          <t>UNVERIFIED</t>
        </is>
      </c>
      <c r="C23" s="20" t="inlineStr">
        <is>
          <t>Cannot be judged from source alone; requires live profiling / real-device test.</t>
        </is>
      </c>
    </row>
    <row r="25" ht="16.15" customHeight="1" s="13">
      <c r="B25" s="16" t="inlineStr">
        <is>
          <t>How this scorecard was built</t>
        </is>
      </c>
    </row>
    <row r="26" ht="90" customHeight="1" s="13">
      <c r="B26" s="20" t="inlineStr">
        <is>
          <t>Static analysis of the checked-out repo (github.com/tronmooo/portal, main @ 2026-07-20). Every row is anchored to a specific file:line so it's actionable. Verdicts marked UNVERIFIED need to be measured live with the DevTools Performance panel or a Playwright timing script — the code inspection alone can't confirm a millisecond number. The Findings sheet lists everything discovered, de-duplicated and ranked.</t>
        </is>
      </c>
    </row>
    <row r="27" ht="15" customHeight="1" s="13"/>
    <row r="28" ht="15" customHeight="1" s="13"/>
    <row r="30">
      <c r="B30" s="21" t="inlineStr">
        <is>
          <t>Remediation — 2026-07-21</t>
        </is>
      </c>
    </row>
    <row r="31">
      <c r="B31" s="22" t="inlineStr">
        <is>
          <t>All code-actionable findings fixed on branch claude/portol-performance-checklist-vcrlzy. Verified: tsc clean, 973/973 vitest, 101/101 pre-push contracts, vite build clean, SSE exercised locally end-to-end.</t>
        </is>
      </c>
    </row>
    <row r="32">
      <c r="B32" s="23" t="inlineStr">
        <is>
          <t>FIXED</t>
        </is>
      </c>
      <c r="C32" s="22" t="n">
        <v>87</v>
      </c>
    </row>
    <row r="33">
      <c r="B33" s="23" t="inlineStr">
        <is>
          <t>VERIFIED OK (no change needed)</t>
        </is>
      </c>
      <c r="C33" s="22" t="n">
        <v>4</v>
      </c>
    </row>
    <row r="34">
      <c r="B34" s="23" t="inlineStr">
        <is>
          <t>PARTIAL (improved, remainder noted)</t>
        </is>
      </c>
      <c r="C34" s="22" t="n">
        <v>25</v>
      </c>
    </row>
    <row r="35">
      <c r="B35" s="23" t="inlineStr">
        <is>
          <t>DEFERRED (needs live test / device / product decision)</t>
        </is>
      </c>
      <c r="C35" s="22" t="n">
        <v>7</v>
      </c>
    </row>
    <row r="36">
      <c r="B36" s="23" t="inlineStr">
        <is>
          <t>— (was already PASS)</t>
        </is>
      </c>
      <c r="C36" s="22" t="n">
        <v>26</v>
      </c>
    </row>
  </sheetData>
  <mergeCells count="12">
    <mergeCell ref="C14:I14"/>
    <mergeCell ref="C23:I23"/>
    <mergeCell ref="C22:I22"/>
    <mergeCell ref="B26:I28"/>
    <mergeCell ref="C17:I17"/>
    <mergeCell ref="B2:I2"/>
    <mergeCell ref="C21:I21"/>
    <mergeCell ref="C20:I20"/>
    <mergeCell ref="B3:I3"/>
    <mergeCell ref="B5:I5"/>
    <mergeCell ref="C16:I16"/>
    <mergeCell ref="C15:I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" customWidth="1" style="12" min="1" max="1"/>
    <col width="16" customWidth="1" style="12" min="2" max="2"/>
    <col width="22" customWidth="1" style="12" min="3" max="3"/>
    <col width="40" customWidth="1" style="12" min="4" max="4"/>
    <col width="22" customWidth="1" style="12" min="5" max="5"/>
    <col width="12" customWidth="1" style="12" min="6" max="6"/>
    <col width="10" customWidth="1" style="12" min="7" max="7"/>
    <col width="42" customWidth="1" style="12" min="8" max="8"/>
    <col width="55" customWidth="1" style="12" min="9" max="9"/>
    <col width="16" customWidth="1" style="13" min="10" max="10"/>
    <col width="60" customWidth="1" style="13" min="11" max="11"/>
  </cols>
  <sheetData>
    <row r="1"/>
    <row r="2" ht="33.75" customHeight="1" s="13">
      <c r="A2" s="24" t="n"/>
      <c r="B2" s="24" t="inlineStr">
        <is>
          <t>Section</t>
        </is>
      </c>
      <c r="C2" s="24" t="inlineStr">
        <is>
          <t>Page / Module</t>
        </is>
      </c>
      <c r="D2" s="24" t="inlineStr">
        <is>
          <t>Action</t>
        </is>
      </c>
      <c r="E2" s="24" t="inlineStr">
        <is>
          <t>Target</t>
        </is>
      </c>
      <c r="F2" s="24" t="inlineStr">
        <is>
          <t>Verdict</t>
        </is>
      </c>
      <c r="G2" s="24" t="inlineStr">
        <is>
          <t>Severity</t>
        </is>
      </c>
      <c r="H2" s="24" t="inlineStr">
        <is>
          <t>Root cause (file:line)</t>
        </is>
      </c>
      <c r="I2" s="24" t="inlineStr">
        <is>
          <t>Fix recommendation</t>
        </is>
      </c>
      <c r="J2" s="23" t="inlineStr">
        <is>
          <t>Status 2026-07-21</t>
        </is>
      </c>
      <c r="K2" s="23" t="inlineStr">
        <is>
          <t>Resolution</t>
        </is>
      </c>
    </row>
    <row r="3" ht="42" customHeight="1" s="13">
      <c r="B3" s="25" t="inlineStr">
        <is>
          <t>Web vitals</t>
        </is>
      </c>
      <c r="C3" s="25" t="inlineStr">
        <is>
          <t>All routes</t>
        </is>
      </c>
      <c r="D3" s="25" t="inlineStr">
        <is>
          <t>LCP (Largest Contentful Paint) — desktop</t>
        </is>
      </c>
      <c r="E3" s="25" t="inlineStr">
        <is>
          <t>≤ 2.0 s</t>
        </is>
      </c>
      <c r="F3" s="25" t="inlineStr">
        <is>
          <t>AT RISK</t>
        </is>
      </c>
      <c r="G3" s="25" t="inlineStr">
        <is>
          <t>P1</t>
        </is>
      </c>
      <c r="H3" s="25" t="inlineStr">
        <is>
          <t>vite.config.ts (chunking OK); dashboard.tsx 5854 LOC has 45 useQuery on mount</t>
        </is>
      </c>
      <c r="I3" s="25" t="inlineStr">
        <is>
          <t>Live-measure LCP with Lighthouse; if &gt; 2s, split dashboard.tsx into route-level lazy sections and hoist metric cards out of the heavy tree.</t>
        </is>
      </c>
      <c r="J3" s="26" t="inlineStr">
        <is>
          <t>PARTIAL</t>
        </is>
      </c>
      <c r="K3" s="27" t="inlineStr">
        <is>
          <t>Structural causes fixed (query dedup, bootstrap cache, insights cache, staleTime); live Lighthouse measurement still required.</t>
        </is>
      </c>
    </row>
    <row r="4" ht="42" customHeight="1" s="13">
      <c r="B4" s="28" t="inlineStr">
        <is>
          <t>Web vitals</t>
        </is>
      </c>
      <c r="C4" s="28" t="inlineStr">
        <is>
          <t>All routes</t>
        </is>
      </c>
      <c r="D4" s="28" t="inlineStr">
        <is>
          <t>LCP — mobile 4G</t>
        </is>
      </c>
      <c r="E4" s="28" t="inlineStr">
        <is>
          <t>≤ 2.5 s</t>
        </is>
      </c>
      <c r="F4" s="28" t="inlineStr">
        <is>
          <t>AT RISK</t>
        </is>
      </c>
      <c r="G4" s="28" t="inlineStr">
        <is>
          <t>P1</t>
        </is>
      </c>
      <c r="H4" s="28" t="inlineStr">
        <is>
          <t>dist bundle unmeasured; artifacts.tsx + document-detail.tsx may static-import html2canvas/jspdf/mermaid/docx</t>
        </is>
      </c>
      <c r="I4" s="28" t="inlineStr">
        <is>
          <t>Verify with `vite build &amp;&amp; npx source-map-explorer` that html2canvas/jspdf/mermaid/docx aren't in the main chunk; convert to dynamic import() where they are.</t>
        </is>
      </c>
      <c r="J4" s="29" t="inlineStr">
        <is>
          <t>VERIFIED OK</t>
        </is>
      </c>
      <c r="K4" s="27" t="inlineStr">
        <is>
          <t>Verified: html2canvas/jspdf/mermaid/docx already dynamic-imported at point of use; not in main chunk.</t>
        </is>
      </c>
    </row>
    <row r="5" ht="42" customHeight="1" s="13">
      <c r="B5" s="25" t="inlineStr">
        <is>
          <t>Web vitals</t>
        </is>
      </c>
      <c r="C5" s="25" t="inlineStr">
        <is>
          <t>All routes</t>
        </is>
      </c>
      <c r="D5" s="25" t="inlineStr">
        <is>
          <t>INP (Interaction to Next Paint) — p75</t>
        </is>
      </c>
      <c r="E5" s="25" t="inlineStr">
        <is>
          <t>≤ 200 ms</t>
        </is>
      </c>
      <c r="F5" s="25" t="inlineStr">
        <is>
          <t>FAIL</t>
        </is>
      </c>
      <c r="G5" s="25" t="inlineStr">
        <is>
          <t>P1</t>
        </is>
      </c>
      <c r="H5" s="25" t="inlineStr">
        <is>
          <t>client/src/pages/chat.tsx composer onChange (line ~3499) rerenders 3648 LOC page; profile-detail.tsx 13761 LOC</t>
        </is>
      </c>
      <c r="I5" s="25" t="inlineStr">
        <is>
          <t>Memoize message row (React.memo + custom equality) and lift composer state into a memoized child. Same for profile-detail entry list.</t>
        </is>
      </c>
      <c r="J5" s="29" t="inlineStr">
        <is>
          <t>FIXED</t>
        </is>
      </c>
      <c r="K5" s="27" t="inlineStr">
        <is>
          <t>ChatComposer extracted (keystrokes no longer rerender page); MessageRow memoized; profile-detail invalidation storm cut 230→11. Live p75 confirm recommended.</t>
        </is>
      </c>
    </row>
    <row r="6" ht="42" customHeight="1" s="13">
      <c r="B6" s="28" t="inlineStr">
        <is>
          <t>Web vitals</t>
        </is>
      </c>
      <c r="C6" s="28" t="inlineStr">
        <is>
          <t>All routes</t>
        </is>
      </c>
      <c r="D6" s="28" t="inlineStr">
        <is>
          <t>CLS (Cumulative Layout Shift)</t>
        </is>
      </c>
      <c r="E6" s="28" t="inlineStr">
        <is>
          <t>≤ 0.1</t>
        </is>
      </c>
      <c r="F6" s="28" t="inlineStr">
        <is>
          <t>UNVERIFIED</t>
        </is>
      </c>
      <c r="G6" s="28" t="inlineStr">
        <is>
          <t>—</t>
        </is>
      </c>
      <c r="H6" s="28" t="inlineStr">
        <is>
          <t>n/a</t>
        </is>
      </c>
      <c r="I6" s="28" t="inlineStr">
        <is>
          <t>Live-measure with Lighthouse; reserve height on image attachments in chat and on lazy-loaded document previews to prevent shifts.</t>
        </is>
      </c>
      <c r="J6" s="26" t="inlineStr">
        <is>
          <t>PARTIAL</t>
        </is>
      </c>
      <c r="K6" s="27" t="inlineStr">
        <is>
          <t>Chat attachment images now reserve height (h-48 + height attr). Live Lighthouse pass still required.</t>
        </is>
      </c>
    </row>
    <row r="7" ht="42" customHeight="1" s="13">
      <c r="B7" s="25" t="inlineStr">
        <is>
          <t>Route load</t>
        </is>
      </c>
      <c r="C7" s="25" t="inlineStr">
        <is>
          <t>Dashboard</t>
        </is>
      </c>
      <c r="D7" s="25" t="inlineStr">
        <is>
          <t>First paint after auth</t>
        </is>
      </c>
      <c r="E7" s="25" t="inlineStr">
        <is>
          <t>≤ 1.5 s</t>
        </is>
      </c>
      <c r="F7" s="25" t="inlineStr">
        <is>
          <t>AT RISK</t>
        </is>
      </c>
      <c r="G7" s="25" t="inlineStr">
        <is>
          <t>P1</t>
        </is>
      </c>
      <c r="H7" s="25" t="inlineStr">
        <is>
          <t>server/routes.ts /api/dashboard-bootstrap fires 16 parallel storage calls; server/supabase-storage.ts generateInsights O(N×M)</t>
        </is>
      </c>
      <c r="I7" s="25" t="inlineStr">
        <is>
          <t>Cache /api/dashboard-bootstrap for 30 s per user server-side; strip insight generation from the bootstrap payload and defer to /api/insights.</t>
        </is>
      </c>
      <c r="J7" s="29" t="inlineStr">
        <is>
          <t>FIXED</t>
        </is>
      </c>
      <c r="K7" s="27" t="inlineStr">
        <is>
          <t>Bootstrap per-user cache TTL tightened to 30s; insights generation cached 60s with eager busting; 7 sequential input fetches parallelized.</t>
        </is>
      </c>
    </row>
    <row r="8" ht="42" customHeight="1" s="13">
      <c r="B8" s="28" t="inlineStr">
        <is>
          <t>Route load</t>
        </is>
      </c>
      <c r="C8" s="28" t="inlineStr">
        <is>
          <t>Profile detail</t>
        </is>
      </c>
      <c r="D8" s="28" t="inlineStr">
        <is>
          <t>First paint (existing profile)</t>
        </is>
      </c>
      <c r="E8" s="28" t="inlineStr">
        <is>
          <t>≤ 1.5 s</t>
        </is>
      </c>
      <c r="F8" s="28" t="inlineStr">
        <is>
          <t>FAIL</t>
        </is>
      </c>
      <c r="G8" s="28" t="inlineStr">
        <is>
          <t>P1</t>
        </is>
      </c>
      <c r="H8" s="28" t="inlineStr">
        <is>
          <t>client/src/pages/profile-detail.tsx 13,761 LOC; 230 hand-rolled invalidations; profiles select(*) returns all JSONB</t>
        </is>
      </c>
      <c r="I8" s="28" t="inlineStr">
        <is>
          <t>Migrate to `profilesLite` (which already exists but is unused) for the initial paint; hydrate heavy JSONB fields on demand.</t>
        </is>
      </c>
      <c r="J8" s="26" t="inlineStr">
        <is>
          <t>PARTIAL</t>
        </is>
      </c>
      <c r="K8" s="27" t="inlineStr">
        <is>
          <t>230→11 invalidations + domain bus cuts refetch storms. profilesLite-for-initial-paint deferred: client consumes fields jsonb from the list payload.</t>
        </is>
      </c>
    </row>
    <row r="9" ht="42" customHeight="1" s="13">
      <c r="B9" s="25" t="inlineStr">
        <is>
          <t>Route load</t>
        </is>
      </c>
      <c r="C9" s="25" t="inlineStr">
        <is>
          <t>Chat</t>
        </is>
      </c>
      <c r="D9" s="25" t="inlineStr">
        <is>
          <t>First paint (empty thread)</t>
        </is>
      </c>
      <c r="E9" s="25" t="inlineStr">
        <is>
          <t>≤ 1.0 s</t>
        </is>
      </c>
      <c r="F9" s="25" t="inlineStr">
        <is>
          <t>AT RISK</t>
        </is>
      </c>
      <c r="G9" s="25" t="inlineStr">
        <is>
          <t>P2</t>
        </is>
      </c>
      <c r="H9" s="25" t="inlineStr">
        <is>
          <t>client/src/pages/chat.tsx 3648 LOC single component; no code-splitting of sub-cards</t>
        </is>
      </c>
      <c r="I9" s="25" t="inlineStr">
        <is>
          <t>Split ChatChart, ChatTable, ChatReport, ArtifactPreview, LazyDocumentPreview into `React.lazy()` — many are already lazy-imported but re-exported from the same module.</t>
        </is>
      </c>
      <c r="J9" s="26" t="inlineStr">
        <is>
          <t>PARTIAL</t>
        </is>
      </c>
      <c r="K9" s="27" t="inlineStr">
        <is>
          <t>MessageRow/composer extraction shrinks the render tree; deeper code-splitting of sub-cards deferred.</t>
        </is>
      </c>
    </row>
    <row r="10" ht="42" customHeight="1" s="13">
      <c r="B10" s="28" t="inlineStr">
        <is>
          <t>Interaction</t>
        </is>
      </c>
      <c r="C10" s="28" t="inlineStr">
        <is>
          <t>All</t>
        </is>
      </c>
      <c r="D10" s="28" t="inlineStr">
        <is>
          <t>Typed keystroke → visible change</t>
        </is>
      </c>
      <c r="E10" s="28" t="inlineStr">
        <is>
          <t>≤ 50 ms</t>
        </is>
      </c>
      <c r="F10" s="28" t="inlineStr">
        <is>
          <t>FAIL</t>
        </is>
      </c>
      <c r="G10" s="28" t="inlineStr">
        <is>
          <t>P1</t>
        </is>
      </c>
      <c r="H10" s="28" t="inlineStr">
        <is>
          <t>chat.tsx line 3499 &lt;Textarea value={input} onChange={setInput}&gt;; dashboard.tsx search input (line ~2170) rerenders full page</t>
        </is>
      </c>
      <c r="I10" s="28" t="inlineStr">
        <is>
          <t>Move composer &lt;Textarea&gt; into a memoized child (`&lt;ChatComposer/&gt;`); use `useDeferredValue` for chat search filter; debounce dashboard search 100 ms.</t>
        </is>
      </c>
      <c r="J10" s="29" t="inlineStr">
        <is>
          <t>FIXED</t>
        </is>
      </c>
      <c r="K10" s="27" t="inlineStr">
        <is>
          <t>Composer state isolated in ChatComposer child. Dashboard search input: does not exist at cited line (row mislocated) — nothing to fix there.</t>
        </is>
      </c>
    </row>
    <row r="11" ht="42" customHeight="1" s="13">
      <c r="B11" s="25" t="inlineStr">
        <is>
          <t>Interaction</t>
        </is>
      </c>
      <c r="C11" s="25" t="inlineStr">
        <is>
          <t>Tab switch</t>
        </is>
      </c>
      <c r="D11" s="25" t="inlineStr">
        <is>
          <t>Tab click → new tab painted</t>
        </is>
      </c>
      <c r="E11" s="25" t="inlineStr">
        <is>
          <t>≤ 100 ms</t>
        </is>
      </c>
      <c r="F11" s="25" t="inlineStr">
        <is>
          <t>AT RISK</t>
        </is>
      </c>
      <c r="G11" s="25" t="inlineStr">
        <is>
          <t>P2</t>
        </is>
      </c>
      <c r="H11" s="25" t="inlineStr">
        <is>
          <t>components/BottomNav (route-level lazy is OK) but each destination triggers 30+ useQuery on mount</t>
        </is>
      </c>
      <c r="I11" s="25" t="inlineStr">
        <is>
          <t>Prefetch destination bootstrap on hover / touchstart; adopt `keepPreviousData` more broadly (only CalendarView uses it today).</t>
        </is>
      </c>
      <c r="J11" s="29" t="inlineStr">
        <is>
          <t>FIXED</t>
        </is>
      </c>
      <c r="K11" s="27" t="inlineStr">
        <is>
          <t>Bottom-nav pointerdown prefetch of each destination's primary query (bootstrap/events/artifacts/profiles), staleTime-respecting.</t>
        </is>
      </c>
    </row>
    <row r="12" ht="42" customHeight="1" s="13">
      <c r="B12" s="28" t="inlineStr">
        <is>
          <t>Interaction</t>
        </is>
      </c>
      <c r="C12" s="28" t="inlineStr">
        <is>
          <t>Modal open</t>
        </is>
      </c>
      <c r="D12" s="28" t="inlineStr">
        <is>
          <t>Trigger → modal visible</t>
        </is>
      </c>
      <c r="E12" s="28" t="inlineStr">
        <is>
          <t>≤ 100 ms</t>
        </is>
      </c>
      <c r="F12" s="28" t="inlineStr">
        <is>
          <t>AT RISK</t>
        </is>
      </c>
      <c r="G12" s="28" t="inlineStr">
        <is>
          <t>P1</t>
        </is>
      </c>
      <c r="H12" s="28" t="inlineStr">
        <is>
          <t>components/dashboard/quick-add/QuickAddDialog.tsx + TaskHabitPopups.tsx do heavy synchronous work in `open` handler</t>
        </is>
      </c>
      <c r="I12" s="28" t="inlineStr">
        <is>
          <t>Defer non-critical work (profile prefetch, history read) with `requestIdleCallback` after open; render dialog shell immediately.</t>
        </is>
      </c>
      <c r="J12" s="29" t="inlineStr">
        <is>
          <t>FIXED</t>
        </is>
      </c>
      <c r="K12" s="27" t="inlineStr">
        <is>
          <t>QuickAddDialog defers profile prefetch behind requestIdleCallback flag; shell paints immediately.</t>
        </is>
      </c>
    </row>
    <row r="13" ht="42" customHeight="1" s="13">
      <c r="B13" s="25" t="inlineStr">
        <is>
          <t>Interaction</t>
        </is>
      </c>
      <c r="C13" s="25" t="inlineStr">
        <is>
          <t>Drawer open</t>
        </is>
      </c>
      <c r="D13" s="25" t="inlineStr">
        <is>
          <t>Tap → drawer visible</t>
        </is>
      </c>
      <c r="E13" s="25" t="inlineStr">
        <is>
          <t>≤ 150 ms</t>
        </is>
      </c>
      <c r="F13" s="25" t="inlineStr">
        <is>
          <t>PASS</t>
        </is>
      </c>
      <c r="G13" s="25" t="inlineStr">
        <is>
          <t>—</t>
        </is>
      </c>
      <c r="H13" s="25" t="inlineStr">
        <is>
          <t>Radix Drawer + Sheet already CSS transform-based</t>
        </is>
      </c>
      <c r="I13" s="25" t="inlineStr">
        <is>
          <t>No change needed — but verify `prefers-reduced-motion` is honored (Radix does by default).</t>
        </is>
      </c>
      <c r="J13" s="23" t="inlineStr">
        <is>
          <t>—</t>
        </is>
      </c>
      <c r="K13" s="27" t="inlineStr">
        <is>
          <t>Already passing (Radix transform-based).</t>
        </is>
      </c>
    </row>
    <row r="14" ht="42" customHeight="1" s="13">
      <c r="B14" s="28" t="inlineStr">
        <is>
          <t>Feedback</t>
        </is>
      </c>
      <c r="C14" s="28" t="inlineStr">
        <is>
          <t>Any mutation</t>
        </is>
      </c>
      <c r="D14" s="28" t="inlineStr">
        <is>
          <t>Optimistic UI paint before server response</t>
        </is>
      </c>
      <c r="E14" s="28" t="inlineStr">
        <is>
          <t>≤ 50 ms</t>
        </is>
      </c>
      <c r="F14" s="28" t="inlineStr">
        <is>
          <t>FAIL</t>
        </is>
      </c>
      <c r="G14" s="28" t="inlineStr">
        <is>
          <t>P1</t>
        </is>
      </c>
      <c r="H14" s="28" t="inlineStr">
        <is>
          <t>dashboard.tsx &amp; profile-detail.tsx mutations use `onSuccess: invalidateQueries` (server round-trip) rather than optimistic update — only CalendarView.tsx does optimistic updates</t>
        </is>
      </c>
      <c r="I14" s="28" t="inlineStr">
        <is>
          <t>Adopt the CalendarView optimistic-context pattern (onMutate → setQueryData; onError → rollback) across dashboard toggleTask, markBillPaid, addExpense, addTrackerEntry.</t>
        </is>
      </c>
      <c r="J14" s="29" t="inlineStr">
        <is>
          <t>FIXED</t>
        </is>
      </c>
      <c r="K14" s="27" t="inlineStr">
        <is>
          <t>CalendarView optimistic-context pattern adopted: task toggle, bill paid, habit check-in, goal progress, expense add, task create, tracker entry add/delete, quick-log.</t>
        </is>
      </c>
    </row>
    <row r="15" ht="42" customHeight="1" s="13">
      <c r="B15" s="25" t="inlineStr">
        <is>
          <t>Feedback</t>
        </is>
      </c>
      <c r="C15" s="25" t="inlineStr">
        <is>
          <t>Chat send</t>
        </is>
      </c>
      <c r="D15" s="25" t="inlineStr">
        <is>
          <t>Send → user bubble visible</t>
        </is>
      </c>
      <c r="E15" s="25" t="inlineStr">
        <is>
          <t>≤ 100 ms</t>
        </is>
      </c>
      <c r="F15" s="25" t="inlineStr">
        <is>
          <t>FAIL</t>
        </is>
      </c>
      <c r="G15" s="25" t="inlineStr">
        <is>
          <t>P1</t>
        </is>
      </c>
      <c r="H15" s="25" t="inlineStr">
        <is>
          <t>chat.tsx chatMutation is plain POST /api/chat (line ~1907) with no local push-first</t>
        </is>
      </c>
      <c r="I15" s="25" t="inlineStr">
        <is>
          <t>Push user message to `messages` before `chatMutation.mutate()`; server response only adds the assistant turn.</t>
        </is>
      </c>
      <c r="J15" s="29" t="inlineStr">
        <is>
          <t>FIXED</t>
        </is>
      </c>
      <c r="K15" s="27" t="inlineStr">
        <is>
          <t>User bubble pushed synchronously pre-mutate; failed sends keep the bubble with a Not sent · Retry affordance.</t>
        </is>
      </c>
    </row>
    <row r="16" ht="42" customHeight="1" s="13">
      <c r="B16" s="28" t="inlineStr">
        <is>
          <t>Feedback</t>
        </is>
      </c>
      <c r="C16" s="28" t="inlineStr">
        <is>
          <t>Chat response</t>
        </is>
      </c>
      <c r="D16" s="28" t="inlineStr">
        <is>
          <t>First assistant token visible</t>
        </is>
      </c>
      <c r="E16" s="28" t="inlineStr">
        <is>
          <t>≤ 800 ms streaming</t>
        </is>
      </c>
      <c r="F16" s="28" t="inlineStr">
        <is>
          <t>FAIL</t>
        </is>
      </c>
      <c r="G16" s="28" t="inlineStr">
        <is>
          <t>P0</t>
        </is>
      </c>
      <c r="H16" s="28" t="inlineStr">
        <is>
          <t>No SSE / streaming anywhere in the chat path; server waits up to 170s (vercel.json maxDuration=300 on api/ai.js)</t>
        </is>
      </c>
      <c r="I16" s="28" t="inlineStr">
        <is>
          <t>Add SSE/ReadableStream to POST /api/chat; render tool-cards incrementally as they arrive. This is the single largest UX win.</t>
        </is>
      </c>
      <c r="J16" s="29" t="inlineStr">
        <is>
          <t>FIXED</t>
        </is>
      </c>
      <c r="K16" s="27" t="inlineStr">
        <is>
          <t>SSE streaming implemented (opt-in Accept: text/event-stream + ?stream=1): ack, per-round assistant_delta, tool_start/tool_result, keepalive, final. Buffered JSON path untouched as default. Confirm incremental delivery on first Vercel preview deploy.</t>
        </is>
      </c>
    </row>
    <row r="17" ht="42" customHeight="1" s="13">
      <c r="B17" s="25" t="inlineStr">
        <is>
          <t>Feedback</t>
        </is>
      </c>
      <c r="C17" s="25" t="inlineStr">
        <is>
          <t>Search / filter typing</t>
        </is>
      </c>
      <c r="D17" s="25" t="inlineStr">
        <is>
          <t>Character → filtered list</t>
        </is>
      </c>
      <c r="E17" s="25" t="inlineStr">
        <is>
          <t>≤ 100 ms</t>
        </is>
      </c>
      <c r="F17" s="25" t="inlineStr">
        <is>
          <t>AT RISK</t>
        </is>
      </c>
      <c r="G17" s="25" t="inlineStr">
        <is>
          <t>P2</t>
        </is>
      </c>
      <c r="H17" s="25" t="inlineStr">
        <is>
          <t>chat.tsx line 2766 filters on every keystroke: messages.filter(msg=&gt;msg.content.toLowerCase().includes(q.toLowerCase())) — .toLowerCase() called twice per message per keystroke</t>
        </is>
      </c>
      <c r="I17" s="25" t="inlineStr">
        <is>
          <t>Precompute lowercased content once per message; use `useDeferredValue(searchQuery)` so filter runs off the render critical path.</t>
        </is>
      </c>
      <c r="J17" s="29" t="inlineStr">
        <is>
          <t>FIXED</t>
        </is>
      </c>
      <c r="K17" s="27" t="inlineStr">
        <is>
          <t>useDeferredValue + memoized filter; lowercase computed once.</t>
        </is>
      </c>
    </row>
    <row r="18" ht="42" customHeight="1" s="13">
      <c r="B18" s="28" t="inlineStr">
        <is>
          <t>Layout stability</t>
        </is>
      </c>
      <c r="C18" s="28" t="inlineStr">
        <is>
          <t>Chat</t>
        </is>
      </c>
      <c r="D18" s="28" t="inlineStr">
        <is>
          <t>Attachment image load</t>
        </is>
      </c>
      <c r="E18" s="28" t="inlineStr">
        <is>
          <t>No visible jump</t>
        </is>
      </c>
      <c r="F18" s="28" t="inlineStr">
        <is>
          <t>AT RISK</t>
        </is>
      </c>
      <c r="G18" s="28" t="inlineStr">
        <is>
          <t>P3</t>
        </is>
      </c>
      <c r="H18" s="28" t="inlineStr">
        <is>
          <t>chat.tsx line ~2800 `&lt;img ... className='max-h-48 w-auto'&gt;` no width/height attrs — natural aspect kicks in on load</t>
        </is>
      </c>
      <c r="I18" s="28" t="inlineStr">
        <is>
          <t>Store intrinsic width/height when uploading; render &lt;img width/height/&gt; or use `aspect-ratio` CSS.</t>
        </is>
      </c>
      <c r="J18" s="29" t="inlineStr">
        <is>
          <t>FIXED</t>
        </is>
      </c>
      <c r="K18" s="27" t="inlineStr">
        <is>
          <t>Fixed-height bubble container + explicit height/lazy/async decoding.</t>
        </is>
      </c>
    </row>
    <row r="19" ht="42" customHeight="1" s="13">
      <c r="B19" s="25" t="inlineStr">
        <is>
          <t>Layout stability</t>
        </is>
      </c>
      <c r="C19" s="25" t="inlineStr">
        <is>
          <t>Document viewer</t>
        </is>
      </c>
      <c r="D19" s="25" t="inlineStr">
        <is>
          <t>PDF page render</t>
        </is>
      </c>
      <c r="E19" s="25" t="inlineStr">
        <is>
          <t>No visible jump</t>
        </is>
      </c>
      <c r="F19" s="25" t="inlineStr">
        <is>
          <t>AT RISK</t>
        </is>
      </c>
      <c r="G19" s="25" t="inlineStr">
        <is>
          <t>P3</t>
        </is>
      </c>
      <c r="H19" s="25" t="inlineStr">
        <is>
          <t>components/DocumentViewer.tsx lines 1319/1325 `height: calc(100vh - 200px)` — on iOS the URL-bar collapse causes height to change</t>
        </is>
      </c>
      <c r="I19" s="25" t="inlineStr">
        <is>
          <t>Switch to `100dvh - 200px` (matches App.tsx which already uses h-dvh).</t>
        </is>
      </c>
      <c r="J19" s="29" t="inlineStr">
        <is>
          <t>FIXED</t>
        </is>
      </c>
      <c r="K19" s="27" t="inlineStr">
        <is>
          <t>DocumentViewer calc(100vh-200px) → 100dvh (both object and iframe paths).</t>
        </is>
      </c>
    </row>
    <row r="20" ht="42" customHeight="1" s="13">
      <c r="B20" s="28" t="inlineStr">
        <is>
          <t>Layout stability</t>
        </is>
      </c>
      <c r="C20" s="28" t="inlineStr">
        <is>
          <t>Dashboard modal scroll</t>
        </is>
      </c>
      <c r="D20" s="28" t="inlineStr">
        <is>
          <t>Scroll inside modal</t>
        </is>
      </c>
      <c r="E20" s="28" t="inlineStr">
        <is>
          <t>No content cut off on iOS</t>
        </is>
      </c>
      <c r="F20" s="28" t="inlineStr">
        <is>
          <t>FAIL</t>
        </is>
      </c>
      <c r="G20" s="28" t="inlineStr">
        <is>
          <t>P2</t>
        </is>
      </c>
      <c r="H20" s="28" t="inlineStr">
        <is>
          <t>client/src/pages/dashboard.tsx line 2207 `height: 'calc(100vh - 160px)'`</t>
        </is>
      </c>
      <c r="I20" s="28" t="inlineStr">
        <is>
          <t>Replace `100vh` with `100dvh` in dashboard.tsx:2207 and editor.tsx h-screen containers.</t>
        </is>
      </c>
      <c r="J20" s="29" t="inlineStr">
        <is>
          <t>FIXED</t>
        </is>
      </c>
      <c r="K20" s="27" t="inlineStr">
        <is>
          <t>dashboard.tsx Action Items sheet → calc(100dvh - 160px); editor.tsx h-screen → h-dvh.</t>
        </is>
      </c>
    </row>
  </sheetData>
  <autoFilter ref="B2:I20"/>
  <conditionalFormatting sqref="F3:F20">
    <cfRule type="cellIs" rank="0" priority="2" equalAverage="0" operator="equal" aboveAverage="0" dxfId="15" text="" percent="0" bottom="0">
      <formula>"PASS"</formula>
    </cfRule>
    <cfRule type="cellIs" rank="0" priority="3" equalAverage="0" operator="equal" aboveAverage="0" dxfId="16" text="" percent="0" bottom="0">
      <formula>"AT RISK"</formula>
    </cfRule>
    <cfRule type="cellIs" rank="0" priority="4" equalAverage="0" operator="equal" aboveAverage="0" dxfId="17" text="" percent="0" bottom="0">
      <formula>"FAIL"</formula>
    </cfRule>
    <cfRule type="cellIs" rank="0" priority="5" equalAverage="0" operator="equal" aboveAverage="0" dxfId="18" text="" percent="0" bottom="0">
      <formula>"UNVERIFIED"</formula>
    </cfRule>
  </conditionalFormatting>
  <conditionalFormatting sqref="G3:G20">
    <cfRule type="cellIs" rank="0" priority="6" equalAverage="0" operator="equal" aboveAverage="0" dxfId="17" text="" percent="0" bottom="0">
      <formula>"P0"</formula>
    </cfRule>
    <cfRule type="cellIs" rank="0" priority="7" equalAverage="0" operator="equal" aboveAverage="0" dxfId="16" text="" percent="0" bottom="0">
      <formula>"P1"</formula>
    </cfRule>
    <cfRule type="cellIs" rank="0" priority="8" equalAverage="0" operator="equal" aboveAverage="0" dxfId="19" text="" percent="0" bottom="0">
      <formula>"P2"</formula>
    </cfRule>
    <cfRule type="cellIs" rank="0" priority="9" equalAverage="0" operator="equal" aboveAverage="0" dxfId="20" text="" percent="0" bottom="0">
      <formula>"P3"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" customWidth="1" style="12" min="1" max="1"/>
    <col width="16" customWidth="1" style="12" min="2" max="2"/>
    <col width="22" customWidth="1" style="12" min="3" max="3"/>
    <col width="40" customWidth="1" style="12" min="4" max="4"/>
    <col width="22" customWidth="1" style="12" min="5" max="5"/>
    <col width="12" customWidth="1" style="12" min="6" max="6"/>
    <col width="10" customWidth="1" style="12" min="7" max="7"/>
    <col width="42" customWidth="1" style="12" min="8" max="8"/>
    <col width="55" customWidth="1" style="12" min="9" max="9"/>
    <col width="16" customWidth="1" style="13" min="10" max="10"/>
    <col width="60" customWidth="1" style="13" min="11" max="11"/>
  </cols>
  <sheetData>
    <row r="1"/>
    <row r="2" ht="33.75" customHeight="1" s="13">
      <c r="A2" s="24" t="n"/>
      <c r="B2" s="24" t="inlineStr">
        <is>
          <t>Section</t>
        </is>
      </c>
      <c r="C2" s="24" t="inlineStr">
        <is>
          <t>Page / Module</t>
        </is>
      </c>
      <c r="D2" s="24" t="inlineStr">
        <is>
          <t>Action</t>
        </is>
      </c>
      <c r="E2" s="24" t="inlineStr">
        <is>
          <t>Target</t>
        </is>
      </c>
      <c r="F2" s="24" t="inlineStr">
        <is>
          <t>Verdict</t>
        </is>
      </c>
      <c r="G2" s="24" t="inlineStr">
        <is>
          <t>Severity</t>
        </is>
      </c>
      <c r="H2" s="24" t="inlineStr">
        <is>
          <t>Root cause (file:line)</t>
        </is>
      </c>
      <c r="I2" s="24" t="inlineStr">
        <is>
          <t>Fix recommendation</t>
        </is>
      </c>
      <c r="J2" s="23" t="inlineStr">
        <is>
          <t>Status 2026-07-21</t>
        </is>
      </c>
      <c r="K2" s="23" t="inlineStr">
        <is>
          <t>Resolution</t>
        </is>
      </c>
    </row>
    <row r="3" ht="42" customHeight="1" s="13">
      <c r="B3" s="25" t="inlineStr">
        <is>
          <t>Route shell</t>
        </is>
      </c>
      <c r="C3" s="25" t="inlineStr">
        <is>
          <t>All routes</t>
        </is>
      </c>
      <c r="D3" s="25" t="inlineStr">
        <is>
          <t>Route shell paints skeleton immediately</t>
        </is>
      </c>
      <c r="E3" s="25" t="inlineStr">
        <is>
          <t>Skeleton visible &lt; 300 ms</t>
        </is>
      </c>
      <c r="F3" s="25" t="inlineStr">
        <is>
          <t>PASS</t>
        </is>
      </c>
      <c r="G3" s="25" t="inlineStr">
        <is>
          <t>—</t>
        </is>
      </c>
      <c r="H3" s="25" t="inlineStr">
        <is>
          <t>client/src/App.tsx RoutePreloader + Suspense boundaries per lazy route</t>
        </is>
      </c>
      <c r="I3" s="25" t="inlineStr">
        <is>
          <t>No change.</t>
        </is>
      </c>
      <c r="J3" s="23" t="inlineStr">
        <is>
          <t>—</t>
        </is>
      </c>
      <c r="K3" s="27" t="inlineStr">
        <is>
          <t>Already passing.</t>
        </is>
      </c>
    </row>
    <row r="4" ht="42" customHeight="1" s="13">
      <c r="B4" s="28" t="inlineStr">
        <is>
          <t>Cache freshness</t>
        </is>
      </c>
      <c r="C4" s="28" t="inlineStr">
        <is>
          <t>All routes</t>
        </is>
      </c>
      <c r="D4" s="28" t="inlineStr">
        <is>
          <t>Create/edit/delete propagates without manual refresh</t>
        </is>
      </c>
      <c r="E4" s="28" t="inlineStr">
        <is>
          <t>Auto-update ≤ 1 s</t>
        </is>
      </c>
      <c r="F4" s="28" t="inlineStr">
        <is>
          <t>FAIL</t>
        </is>
      </c>
      <c r="G4" s="28" t="inlineStr">
        <is>
          <t>P1</t>
        </is>
      </c>
      <c r="H4" s="28" t="inlineStr">
        <is>
          <t>client/src/lib/cache-bus.ts (367 LOC, well-designed) only used in 4 files. Hand-rolled invalidations: profile-detail 230, liability-detail 66, finance 52, trackers 50, dashboard 34, CalendarView 22</t>
        </is>
      </c>
      <c r="I4" s="28" t="inlineStr">
        <is>
          <t>Migrate all mutation success handlers to `invalidateDomain('tasks'|'expenses'|'trackers'|...)` from cache-bus.ts. This is the root cause of the whole 'have to refresh' bug class.</t>
        </is>
      </c>
      <c r="J4" s="29" t="inlineStr">
        <is>
          <t>FIXED</t>
        </is>
      </c>
      <c r="K4" s="27" t="inlineStr">
        <is>
          <t>Cache-bus adopted app-wide: finance 52→2, trackers 50→3, habits 20→4, tasks 4→0, wellness 9→0, dashboard ~30 migrated, profile-detail 230→11, liability-detail 66→10. Remaining raw calls are documented keepers (non-bus keys / deliberate scopes).</t>
        </is>
      </c>
    </row>
    <row r="5" ht="42" customHeight="1" s="13">
      <c r="B5" s="25" t="inlineStr">
        <is>
          <t>Profile scoping</t>
        </is>
      </c>
      <c r="C5" s="25" t="inlineStr">
        <is>
          <t>All entity queries</t>
        </is>
      </c>
      <c r="D5" s="25" t="inlineStr">
        <is>
          <t>Selected profile filters all lists</t>
        </is>
      </c>
      <c r="E5" s="25" t="inlineStr">
        <is>
          <t>0 cross-profile leaks</t>
        </is>
      </c>
      <c r="F5" s="25" t="inlineStr">
        <is>
          <t>PASS</t>
        </is>
      </c>
      <c r="G5" s="25" t="inlineStr">
        <is>
          <t>P0 if broken</t>
        </is>
      </c>
      <c r="H5" s="25" t="inlineStr">
        <is>
          <t>server/supabase-storage.ts row-level user_id filters + migrations/006_zero_trust_rls.sql</t>
        </is>
      </c>
      <c r="I5" s="25" t="inlineStr">
        <is>
          <t>No code change; add a Playwright RLS regression test that logs in as User A and asserts /api/profiles for User B is 401.</t>
        </is>
      </c>
      <c r="J5" s="23" t="inlineStr">
        <is>
          <t>—</t>
        </is>
      </c>
      <c r="K5" s="27" t="inlineStr">
        <is>
          <t>Already passing (server-side RLS). Suggested Playwright RLS regression test not added — test-infra work, tracked as follow-up.</t>
        </is>
      </c>
    </row>
    <row r="6" ht="42" customHeight="1" s="13">
      <c r="B6" s="28" t="inlineStr">
        <is>
          <t>Deep-link</t>
        </is>
      </c>
      <c r="C6" s="28" t="inlineStr">
        <is>
          <t>All routes</t>
        </is>
      </c>
      <c r="D6" s="28" t="inlineStr">
        <is>
          <t>Deep-link to sub-route loads directly</t>
        </is>
      </c>
      <c r="E6" s="28" t="inlineStr">
        <is>
          <t>No blank flash &gt; 300 ms</t>
        </is>
      </c>
      <c r="F6" s="28" t="inlineStr">
        <is>
          <t>PASS</t>
        </is>
      </c>
      <c r="G6" s="28" t="inlineStr">
        <is>
          <t>—</t>
        </is>
      </c>
      <c r="H6" s="28" t="inlineStr">
        <is>
          <t>wouter + hash routing; App.tsx Suspense</t>
        </is>
      </c>
      <c r="I6" s="28" t="inlineStr">
        <is>
          <t>No change.</t>
        </is>
      </c>
      <c r="J6" s="23" t="inlineStr">
        <is>
          <t>—</t>
        </is>
      </c>
      <c r="K6" s="27" t="inlineStr">
        <is>
          <t>Already passing.</t>
        </is>
      </c>
    </row>
    <row r="7" ht="42" customHeight="1" s="13">
      <c r="B7" s="25" t="inlineStr">
        <is>
          <t>Responsive</t>
        </is>
      </c>
      <c r="C7" s="25" t="inlineStr">
        <is>
          <t>Dashboard</t>
        </is>
      </c>
      <c r="D7" s="25" t="inlineStr">
        <is>
          <t>Layout adapts 320px → 1280px</t>
        </is>
      </c>
      <c r="E7" s="25" t="inlineStr">
        <is>
          <t>No horizontal scroll, no clipped controls</t>
        </is>
      </c>
      <c r="F7" s="25" t="inlineStr">
        <is>
          <t>AT RISK</t>
        </is>
      </c>
      <c r="G7" s="25" t="inlineStr">
        <is>
          <t>P3</t>
        </is>
      </c>
      <c r="H7" s="25" t="inlineStr">
        <is>
          <t>dashboard.tsx uses fixed pixel widths in several metric cards; not inspected exhaustively</t>
        </is>
      </c>
      <c r="I7" s="25" t="inlineStr">
        <is>
          <t>Live-check at 320/375/768/1280; wrap fixed widths in `min-w-0 flex-1`.</t>
        </is>
      </c>
      <c r="J7" s="30" t="inlineStr">
        <is>
          <t>DEFERRED</t>
        </is>
      </c>
      <c r="K7" s="27" t="inlineStr">
        <is>
          <t>Needs live breakpoint pass (320/375/768/1280); not verifiable from source alone.</t>
        </is>
      </c>
    </row>
    <row r="8" ht="42" customHeight="1" s="13">
      <c r="B8" s="28" t="inlineStr">
        <is>
          <t>Error handling</t>
        </is>
      </c>
      <c r="C8" s="28" t="inlineStr">
        <is>
          <t>All routes</t>
        </is>
      </c>
      <c r="D8" s="28" t="inlineStr">
        <is>
          <t>Section error boundary catches component crashes</t>
        </is>
      </c>
      <c r="E8" s="28" t="inlineStr">
        <is>
          <t>Fallback UI, no full-app crash</t>
        </is>
      </c>
      <c r="F8" s="28" t="inlineStr">
        <is>
          <t>AT RISK</t>
        </is>
      </c>
      <c r="G8" s="28" t="inlineStr">
        <is>
          <t>P2</t>
        </is>
      </c>
      <c r="H8" s="28" t="inlineStr">
        <is>
          <t>Only 5 ErrorBoundary/SectionErrorBoundary usages found across the app</t>
        </is>
      </c>
      <c r="I8" s="28" t="inlineStr">
        <is>
          <t>Add SectionErrorBoundary around each large data section on dashboard, profile-detail, trackers, finance.</t>
        </is>
      </c>
      <c r="J8" s="26" t="inlineStr">
        <is>
          <t>PARTIAL</t>
        </is>
      </c>
      <c r="K8" s="27" t="inlineStr">
        <is>
          <t>Boundaries added around artifact renderer, artifacts list/shelf, document preview/data panels, editor sheet+doc engines. Dashboard/profile-detail sections not yet wrapped.</t>
        </is>
      </c>
    </row>
    <row r="9" ht="42" customHeight="1" s="13">
      <c r="B9" s="25" t="inlineStr">
        <is>
          <t>Offline</t>
        </is>
      </c>
      <c r="C9" s="25" t="inlineStr">
        <is>
          <t>PWA</t>
        </is>
      </c>
      <c r="D9" s="25" t="inlineStr">
        <is>
          <t>Offline shell available</t>
        </is>
      </c>
      <c r="E9" s="25" t="inlineStr">
        <is>
          <t>Cached shell paints when offline</t>
        </is>
      </c>
      <c r="F9" s="25" t="inlineStr">
        <is>
          <t>PASS</t>
        </is>
      </c>
      <c r="G9" s="25" t="inlineStr">
        <is>
          <t>—</t>
        </is>
      </c>
      <c r="H9" s="25" t="inlineStr">
        <is>
          <t>vite.config.ts VitePWA with NetworkFirst navigations, NetworkOnly /api/*, CacheFirst /assets/*</t>
        </is>
      </c>
      <c r="I9" s="25" t="inlineStr">
        <is>
          <t>No change.</t>
        </is>
      </c>
      <c r="J9" s="23" t="inlineStr">
        <is>
          <t>—</t>
        </is>
      </c>
      <c r="K9" s="27" t="inlineStr">
        <is>
          <t>Already passing.</t>
        </is>
      </c>
    </row>
    <row r="10" ht="42" customHeight="1" s="13">
      <c r="B10" s="28" t="inlineStr">
        <is>
          <t>Keepalive</t>
        </is>
      </c>
      <c r="C10" s="28" t="inlineStr">
        <is>
          <t>All routes</t>
        </is>
      </c>
      <c r="D10" s="28" t="inlineStr">
        <is>
          <t>iOS-frozen fetches recover on visibility change</t>
        </is>
      </c>
      <c r="E10" s="28" t="inlineStr">
        <is>
          <t>No infinite spinners</t>
        </is>
      </c>
      <c r="F10" s="28" t="inlineStr">
        <is>
          <t>PASS</t>
        </is>
      </c>
      <c r="G10" s="28" t="inlineStr">
        <is>
          <t>—</t>
        </is>
      </c>
      <c r="H10" s="28" t="inlineStr">
        <is>
          <t>client/src/lib/queryClient.ts recoverWedgedQueries() + KeepAlive pings /api/warmup every 90 s</t>
        </is>
      </c>
      <c r="I10" s="28" t="inlineStr">
        <is>
          <t>No change — this is exceptional prior art.</t>
        </is>
      </c>
      <c r="J10" s="23" t="inlineStr">
        <is>
          <t>—</t>
        </is>
      </c>
      <c r="K10" s="27" t="inlineStr">
        <is>
          <t>Already passing.</t>
        </is>
      </c>
    </row>
    <row r="11" ht="42" customHeight="1" s="13">
      <c r="B11" s="25" t="inlineStr">
        <is>
          <t>Auth</t>
        </is>
      </c>
      <c r="C11" s="25" t="inlineStr">
        <is>
          <t>Auth flow</t>
        </is>
      </c>
      <c r="D11" s="25" t="inlineStr">
        <is>
          <t>Sign-in → dashboard first paint</t>
        </is>
      </c>
      <c r="E11" s="25" t="inlineStr">
        <is>
          <t>≤ 2.0 s</t>
        </is>
      </c>
      <c r="F11" s="25" t="inlineStr">
        <is>
          <t>UNVERIFIED</t>
        </is>
      </c>
      <c r="G11" s="25" t="inlineStr">
        <is>
          <t>—</t>
        </is>
      </c>
      <c r="H11" s="25" t="inlineStr">
        <is>
          <t>n/a</t>
        </is>
      </c>
      <c r="I11" s="25" t="inlineStr">
        <is>
          <t>Live-measure end-to-end; prefetch /api/dashboard-bootstrap during the OAuth callback screen.</t>
        </is>
      </c>
      <c r="J11" s="30" t="inlineStr">
        <is>
          <t>DEFERRED</t>
        </is>
      </c>
      <c r="K11" s="27" t="inlineStr">
        <is>
          <t>Needs live end-to-end measurement.</t>
        </is>
      </c>
    </row>
    <row r="12" ht="42" customHeight="1" s="13">
      <c r="B12" s="28" t="inlineStr">
        <is>
          <t>Console hygiene</t>
        </is>
      </c>
      <c r="C12" s="28" t="inlineStr">
        <is>
          <t>All routes</t>
        </is>
      </c>
      <c r="D12" s="28" t="inlineStr">
        <is>
          <t>No stray console.log in production</t>
        </is>
      </c>
      <c r="E12" s="28" t="inlineStr">
        <is>
          <t>0 logs (warn allowed)</t>
        </is>
      </c>
      <c r="F12" s="28" t="inlineStr">
        <is>
          <t>AT RISK</t>
        </is>
      </c>
      <c r="G12" s="28" t="inlineStr">
        <is>
          <t>P3</t>
        </is>
      </c>
      <c r="H12" s="28" t="inlineStr">
        <is>
          <t>dashboard.tsx has 2 `console.log` (esbuild's `drop: ['console','debugger']` in Vite config drops all levels, so these should be gone — verify build output)</t>
        </is>
      </c>
      <c r="I12" s="28" t="inlineStr">
        <is>
          <t>Confirm the production bundle strips them; if any leak (grep dist for console.log), tighten the vite.config.ts esbuild.drop list.</t>
        </is>
      </c>
      <c r="J12" s="29" t="inlineStr">
        <is>
          <t>FIXED</t>
        </is>
      </c>
      <c r="K12" s="27" t="inlineStr">
        <is>
          <t>Both stray [perfLog] console.logs removed; instrument restored behind explicit ?perfLog=1 opt-in (pinned by tests/dashboard-filter-perf.test.ts); esbuild drop strips console in prod builds.</t>
        </is>
      </c>
    </row>
  </sheetData>
  <autoFilter ref="B2:I12"/>
  <conditionalFormatting sqref="F3:F12">
    <cfRule type="cellIs" rank="0" priority="2" equalAverage="0" operator="equal" aboveAverage="0" dxfId="15" text="" percent="0" bottom="0">
      <formula>"PASS"</formula>
    </cfRule>
    <cfRule type="cellIs" rank="0" priority="3" equalAverage="0" operator="equal" aboveAverage="0" dxfId="16" text="" percent="0" bottom="0">
      <formula>"AT RISK"</formula>
    </cfRule>
    <cfRule type="cellIs" rank="0" priority="4" equalAverage="0" operator="equal" aboveAverage="0" dxfId="17" text="" percent="0" bottom="0">
      <formula>"FAIL"</formula>
    </cfRule>
    <cfRule type="cellIs" rank="0" priority="5" equalAverage="0" operator="equal" aboveAverage="0" dxfId="18" text="" percent="0" bottom="0">
      <formula>"UNVERIFIED"</formula>
    </cfRule>
  </conditionalFormatting>
  <conditionalFormatting sqref="G3:G12">
    <cfRule type="cellIs" rank="0" priority="6" equalAverage="0" operator="equal" aboveAverage="0" dxfId="17" text="" percent="0" bottom="0">
      <formula>"P0"</formula>
    </cfRule>
    <cfRule type="cellIs" rank="0" priority="7" equalAverage="0" operator="equal" aboveAverage="0" dxfId="16" text="" percent="0" bottom="0">
      <formula>"P1"</formula>
    </cfRule>
    <cfRule type="cellIs" rank="0" priority="8" equalAverage="0" operator="equal" aboveAverage="0" dxfId="19" text="" percent="0" bottom="0">
      <formula>"P2"</formula>
    </cfRule>
    <cfRule type="cellIs" rank="0" priority="9" equalAverage="0" operator="equal" aboveAverage="0" dxfId="20" text="" percent="0" bottom="0">
      <formula>"P3"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" customWidth="1" style="12" min="1" max="1"/>
    <col width="16" customWidth="1" style="12" min="2" max="2"/>
    <col width="22" customWidth="1" style="12" min="3" max="3"/>
    <col width="40" customWidth="1" style="12" min="4" max="4"/>
    <col width="22" customWidth="1" style="12" min="5" max="5"/>
    <col width="12" customWidth="1" style="12" min="6" max="6"/>
    <col width="10" customWidth="1" style="12" min="7" max="7"/>
    <col width="42" customWidth="1" style="12" min="8" max="8"/>
    <col width="55" customWidth="1" style="12" min="9" max="9"/>
    <col width="16" customWidth="1" style="13" min="10" max="10"/>
    <col width="60" customWidth="1" style="13" min="11" max="11"/>
  </cols>
  <sheetData>
    <row r="1"/>
    <row r="2" ht="33.75" customHeight="1" s="13">
      <c r="A2" s="24" t="n"/>
      <c r="B2" s="24" t="inlineStr">
        <is>
          <t>Section</t>
        </is>
      </c>
      <c r="C2" s="24" t="inlineStr">
        <is>
          <t>Page / Module</t>
        </is>
      </c>
      <c r="D2" s="24" t="inlineStr">
        <is>
          <t>Action</t>
        </is>
      </c>
      <c r="E2" s="24" t="inlineStr">
        <is>
          <t>Target</t>
        </is>
      </c>
      <c r="F2" s="24" t="inlineStr">
        <is>
          <t>Verdict</t>
        </is>
      </c>
      <c r="G2" s="24" t="inlineStr">
        <is>
          <t>Severity</t>
        </is>
      </c>
      <c r="H2" s="24" t="inlineStr">
        <is>
          <t>Root cause (file:line)</t>
        </is>
      </c>
      <c r="I2" s="24" t="inlineStr">
        <is>
          <t>Fix recommendation</t>
        </is>
      </c>
      <c r="J2" s="23" t="inlineStr">
        <is>
          <t>Status 2026-07-21</t>
        </is>
      </c>
      <c r="K2" s="23" t="inlineStr">
        <is>
          <t>Resolution</t>
        </is>
      </c>
    </row>
    <row r="3" ht="42" customHeight="1" s="13">
      <c r="B3" s="25" t="inlineStr">
        <is>
          <t>Create</t>
        </is>
      </c>
      <c r="C3" s="25" t="inlineStr">
        <is>
          <t>Tasks</t>
        </is>
      </c>
      <c r="D3" s="25" t="inlineStr">
        <is>
          <t>Create Tasks → visible in relevant list</t>
        </is>
      </c>
      <c r="E3" s="25" t="inlineStr">
        <is>
          <t>≤ 200 ms optimistic</t>
        </is>
      </c>
      <c r="F3" s="25" t="inlineStr">
        <is>
          <t>FAIL</t>
        </is>
      </c>
      <c r="G3" s="25" t="inlineStr">
        <is>
          <t>P1</t>
        </is>
      </c>
      <c r="H3" s="25" t="inlineStr">
        <is>
          <t>client/src/pages/tasks.tsx + dashboard.tsx toggleTaskMutation</t>
        </is>
      </c>
      <c r="I3" s="25" t="inlineStr">
        <is>
          <t>Adopt optimistic-context pattern (see components/CalendarView.tsx mutation) — snapshot list, insert temp row on onMutate, rollback on onError.</t>
        </is>
      </c>
      <c r="J3" s="29" t="inlineStr">
        <is>
          <t>FIXED</t>
        </is>
      </c>
      <c r="K3" s="27" t="inlineStr">
        <is>
          <t>Optimistic create with temp-id→server-id swap; invalidateDomain('tasks').</t>
        </is>
      </c>
    </row>
    <row r="4" ht="42" customHeight="1" s="13">
      <c r="B4" s="28" t="inlineStr">
        <is>
          <t>Edit</t>
        </is>
      </c>
      <c r="C4" s="28" t="inlineStr">
        <is>
          <t>Tasks</t>
        </is>
      </c>
      <c r="D4" s="28" t="inlineStr">
        <is>
          <t>Edit Tasks → old value replaced everywhere</t>
        </is>
      </c>
      <c r="E4" s="28" t="inlineStr">
        <is>
          <t>≤ 300 ms auto-refresh</t>
        </is>
      </c>
      <c r="F4" s="28" t="inlineStr">
        <is>
          <t>AT RISK</t>
        </is>
      </c>
      <c r="G4" s="28" t="inlineStr">
        <is>
          <t>P1</t>
        </is>
      </c>
      <c r="H4" s="28" t="inlineStr">
        <is>
          <t>client/src/pages/tasks.tsx + dashboard.tsx toggleTaskMutation</t>
        </is>
      </c>
      <c r="I4" s="28" t="inlineStr">
        <is>
          <t>Route through cache-bus.invalidateDomain instead of scattered queryClient.invalidateQueries so linked surfaces (dashboard, calendar, cashflow) update in one shot.</t>
        </is>
      </c>
      <c r="J4" s="29" t="inlineStr">
        <is>
          <t>FIXED</t>
        </is>
      </c>
      <c r="K4" s="27" t="inlineStr">
        <is>
          <t>invalidateTaskQueries helper now routes through cache-bus domain (covers stats/dashboard/calendar/activity).</t>
        </is>
      </c>
    </row>
    <row r="5" ht="42" customHeight="1" s="13">
      <c r="B5" s="25" t="inlineStr">
        <is>
          <t>Delete</t>
        </is>
      </c>
      <c r="C5" s="25" t="inlineStr">
        <is>
          <t>Tasks</t>
        </is>
      </c>
      <c r="D5" s="25" t="inlineStr">
        <is>
          <t>Delete Tasks → row disappears, no ghosts</t>
        </is>
      </c>
      <c r="E5" s="25" t="inlineStr">
        <is>
          <t>≤ 300 ms</t>
        </is>
      </c>
      <c r="F5" s="25" t="inlineStr">
        <is>
          <t>AT RISK</t>
        </is>
      </c>
      <c r="G5" s="25" t="inlineStr">
        <is>
          <t>P0</t>
        </is>
      </c>
      <c r="H5" s="25" t="inlineStr">
        <is>
          <t>client/src/pages/tasks.tsx + dashboard.tsx toggleTaskMutation + server/supabase-storage.ts:1595 deleteProfile cascade</t>
        </is>
      </c>
      <c r="I5" s="25" t="inlineStr">
        <is>
          <t>Confirm delete_profile_cascade RPC (migrations/009) is deployed to prod; legacy fallback path is O(items) sequential awaits (see Findings sheet row 6).</t>
        </is>
      </c>
      <c r="J5" s="29" t="inlineStr">
        <is>
          <t>FIXED</t>
        </is>
      </c>
      <c r="K5" s="27" t="inlineStr">
        <is>
          <t>Optimistic + soft-delete restore endpoint + uniform 8s Undo toast.</t>
        </is>
      </c>
    </row>
    <row r="6" ht="42" customHeight="1" s="13">
      <c r="B6" s="28" t="inlineStr">
        <is>
          <t>Create</t>
        </is>
      </c>
      <c r="C6" s="28" t="inlineStr">
        <is>
          <t>Habits</t>
        </is>
      </c>
      <c r="D6" s="28" t="inlineStr">
        <is>
          <t>Create Habits → visible in relevant list</t>
        </is>
      </c>
      <c r="E6" s="28" t="inlineStr">
        <is>
          <t>≤ 200 ms optimistic</t>
        </is>
      </c>
      <c r="F6" s="28" t="inlineStr">
        <is>
          <t>FAIL</t>
        </is>
      </c>
      <c r="G6" s="28" t="inlineStr">
        <is>
          <t>P1</t>
        </is>
      </c>
      <c r="H6" s="28" t="inlineStr">
        <is>
          <t>dashboard.tsx habit toggle + components/dashboard/TaskHabitPopups.tsx</t>
        </is>
      </c>
      <c r="I6" s="28" t="inlineStr">
        <is>
          <t>Adopt optimistic-context pattern (see components/CalendarView.tsx mutation) — snapshot list, insert temp row on onMutate, rollback on onError.</t>
        </is>
      </c>
      <c r="J6" s="26" t="inlineStr">
        <is>
          <t>PARTIAL</t>
        </is>
      </c>
      <c r="K6" s="27" t="inlineStr">
        <is>
          <t>Create propagates via domain bus (&lt;500ms server-confirmed); check-in toggle is optimistic; create itself not optimistic.</t>
        </is>
      </c>
    </row>
    <row r="7" ht="42" customHeight="1" s="13">
      <c r="B7" s="25" t="inlineStr">
        <is>
          <t>Edit</t>
        </is>
      </c>
      <c r="C7" s="25" t="inlineStr">
        <is>
          <t>Habits</t>
        </is>
      </c>
      <c r="D7" s="25" t="inlineStr">
        <is>
          <t>Edit Habits → old value replaced everywhere</t>
        </is>
      </c>
      <c r="E7" s="25" t="inlineStr">
        <is>
          <t>≤ 300 ms auto-refresh</t>
        </is>
      </c>
      <c r="F7" s="25" t="inlineStr">
        <is>
          <t>AT RISK</t>
        </is>
      </c>
      <c r="G7" s="25" t="inlineStr">
        <is>
          <t>P1</t>
        </is>
      </c>
      <c r="H7" s="25" t="inlineStr">
        <is>
          <t>dashboard.tsx habit toggle + components/dashboard/TaskHabitPopups.tsx</t>
        </is>
      </c>
      <c r="I7" s="25" t="inlineStr">
        <is>
          <t>Route through cache-bus.invalidateDomain instead of scattered queryClient.invalidateQueries so linked surfaces (dashboard, calendar, cashflow) update in one shot.</t>
        </is>
      </c>
      <c r="J7" s="29" t="inlineStr">
        <is>
          <t>FIXED</t>
        </is>
      </c>
      <c r="K7" s="27" t="inlineStr">
        <is>
          <t>All habit mutations route through invalidateDomain('habits').</t>
        </is>
      </c>
    </row>
    <row r="8" ht="42" customHeight="1" s="13">
      <c r="B8" s="28" t="inlineStr">
        <is>
          <t>Delete</t>
        </is>
      </c>
      <c r="C8" s="28" t="inlineStr">
        <is>
          <t>Habits</t>
        </is>
      </c>
      <c r="D8" s="28" t="inlineStr">
        <is>
          <t>Delete Habits → row disappears, no ghosts</t>
        </is>
      </c>
      <c r="E8" s="28" t="inlineStr">
        <is>
          <t>≤ 300 ms</t>
        </is>
      </c>
      <c r="F8" s="28" t="inlineStr">
        <is>
          <t>AT RISK</t>
        </is>
      </c>
      <c r="G8" s="28" t="inlineStr">
        <is>
          <t>P0</t>
        </is>
      </c>
      <c r="H8" s="28" t="inlineStr">
        <is>
          <t>dashboard.tsx habit toggle + components/dashboard/TaskHabitPopups.tsx + server/supabase-storage.ts:1595 deleteProfile cascade</t>
        </is>
      </c>
      <c r="I8" s="28" t="inlineStr">
        <is>
          <t>Confirm delete_profile_cascade RPC (migrations/009) is deployed to prod; legacy fallback path is O(items) sequential awaits (see Findings sheet row 6).</t>
        </is>
      </c>
      <c r="J8" s="29" t="inlineStr">
        <is>
          <t>FIXED</t>
        </is>
      </c>
      <c r="K8" s="27" t="inlineStr">
        <is>
          <t>Restore endpoint + Undo toast.</t>
        </is>
      </c>
    </row>
    <row r="9" ht="42" customHeight="1" s="13">
      <c r="B9" s="25" t="inlineStr">
        <is>
          <t>Create</t>
        </is>
      </c>
      <c r="C9" s="25" t="inlineStr">
        <is>
          <t>Expenses</t>
        </is>
      </c>
      <c r="D9" s="25" t="inlineStr">
        <is>
          <t>Create Expenses → visible in relevant list</t>
        </is>
      </c>
      <c r="E9" s="25" t="inlineStr">
        <is>
          <t>≤ 200 ms optimistic</t>
        </is>
      </c>
      <c r="F9" s="25" t="inlineStr">
        <is>
          <t>FAIL</t>
        </is>
      </c>
      <c r="G9" s="25" t="inlineStr">
        <is>
          <t>P1</t>
        </is>
      </c>
      <c r="H9" s="25" t="inlineStr">
        <is>
          <t>finance.tsx addExpenseMutation</t>
        </is>
      </c>
      <c r="I9" s="25" t="inlineStr">
        <is>
          <t>Adopt optimistic-context pattern (see components/CalendarView.tsx mutation) — snapshot list, insert temp row on onMutate, rollback on onError.</t>
        </is>
      </c>
      <c r="J9" s="29" t="inlineStr">
        <is>
          <t>FIXED</t>
        </is>
      </c>
      <c r="K9" s="27" t="inlineStr">
        <is>
          <t>Optimistic insert with rollback + temp-id swap on server confirm.</t>
        </is>
      </c>
    </row>
    <row r="10" ht="42" customHeight="1" s="13">
      <c r="B10" s="28" t="inlineStr">
        <is>
          <t>Edit</t>
        </is>
      </c>
      <c r="C10" s="28" t="inlineStr">
        <is>
          <t>Expenses</t>
        </is>
      </c>
      <c r="D10" s="28" t="inlineStr">
        <is>
          <t>Edit Expenses → old value replaced everywhere</t>
        </is>
      </c>
      <c r="E10" s="28" t="inlineStr">
        <is>
          <t>≤ 300 ms auto-refresh</t>
        </is>
      </c>
      <c r="F10" s="28" t="inlineStr">
        <is>
          <t>AT RISK</t>
        </is>
      </c>
      <c r="G10" s="28" t="inlineStr">
        <is>
          <t>P1</t>
        </is>
      </c>
      <c r="H10" s="28" t="inlineStr">
        <is>
          <t>finance.tsx addExpenseMutation</t>
        </is>
      </c>
      <c r="I10" s="28" t="inlineStr">
        <is>
          <t>Route through cache-bus.invalidateDomain instead of scattered queryClient.invalidateQueries so linked surfaces (dashboard, calendar, cashflow) update in one shot.</t>
        </is>
      </c>
      <c r="J10" s="29" t="inlineStr">
        <is>
          <t>FIXED</t>
        </is>
      </c>
      <c r="K10" s="27" t="inlineStr">
        <is>
          <t>invalidateDomain('expenses').</t>
        </is>
      </c>
    </row>
    <row r="11" ht="42" customHeight="1" s="13">
      <c r="B11" s="25" t="inlineStr">
        <is>
          <t>Delete</t>
        </is>
      </c>
      <c r="C11" s="25" t="inlineStr">
        <is>
          <t>Expenses</t>
        </is>
      </c>
      <c r="D11" s="25" t="inlineStr">
        <is>
          <t>Delete Expenses → row disappears, no ghosts</t>
        </is>
      </c>
      <c r="E11" s="25" t="inlineStr">
        <is>
          <t>≤ 300 ms</t>
        </is>
      </c>
      <c r="F11" s="25" t="inlineStr">
        <is>
          <t>AT RISK</t>
        </is>
      </c>
      <c r="G11" s="25" t="inlineStr">
        <is>
          <t>P0</t>
        </is>
      </c>
      <c r="H11" s="25" t="inlineStr">
        <is>
          <t>finance.tsx addExpenseMutation + server/supabase-storage.ts:1595 deleteProfile cascade</t>
        </is>
      </c>
      <c r="I11" s="25" t="inlineStr">
        <is>
          <t>Confirm delete_profile_cascade RPC (migrations/009) is deployed to prod; legacy fallback path is O(items) sequential awaits (see Findings sheet row 6).</t>
        </is>
      </c>
      <c r="J11" s="29" t="inlineStr">
        <is>
          <t>FIXED</t>
        </is>
      </c>
      <c r="K11" s="27" t="inlineStr">
        <is>
          <t>Optimistic removal + Undo (verified-lossless re-create).</t>
        </is>
      </c>
    </row>
    <row r="12" ht="42" customHeight="1" s="13">
      <c r="B12" s="28" t="inlineStr">
        <is>
          <t>Create</t>
        </is>
      </c>
      <c r="C12" s="28" t="inlineStr">
        <is>
          <t>Subscriptions</t>
        </is>
      </c>
      <c r="D12" s="28" t="inlineStr">
        <is>
          <t>Create Subscriptions → visible in relevant list</t>
        </is>
      </c>
      <c r="E12" s="28" t="inlineStr">
        <is>
          <t>≤ 200 ms optimistic</t>
        </is>
      </c>
      <c r="F12" s="28" t="inlineStr">
        <is>
          <t>FAIL</t>
        </is>
      </c>
      <c r="G12" s="28" t="inlineStr">
        <is>
          <t>P1</t>
        </is>
      </c>
      <c r="H12" s="28" t="inlineStr">
        <is>
          <t>finance.tsx</t>
        </is>
      </c>
      <c r="I12" s="28" t="inlineStr">
        <is>
          <t>Adopt optimistic-context pattern (see components/CalendarView.tsx mutation) — snapshot list, insert temp row on onMutate, rollback on onError.</t>
        </is>
      </c>
      <c r="J12" s="26" t="inlineStr">
        <is>
          <t>PARTIAL</t>
        </is>
      </c>
      <c r="K12" s="27" t="inlineStr">
        <is>
          <t>Subscriptions render as a read-only view over subscription-type profiles; CRUD lives in profile flows which now use the domain bus. No dedicated create mutation to make optimistic.</t>
        </is>
      </c>
    </row>
    <row r="13" ht="42" customHeight="1" s="13">
      <c r="B13" s="25" t="inlineStr">
        <is>
          <t>Edit</t>
        </is>
      </c>
      <c r="C13" s="25" t="inlineStr">
        <is>
          <t>Subscriptions</t>
        </is>
      </c>
      <c r="D13" s="25" t="inlineStr">
        <is>
          <t>Edit Subscriptions → old value replaced everywhere</t>
        </is>
      </c>
      <c r="E13" s="25" t="inlineStr">
        <is>
          <t>≤ 300 ms auto-refresh</t>
        </is>
      </c>
      <c r="F13" s="25" t="inlineStr">
        <is>
          <t>AT RISK</t>
        </is>
      </c>
      <c r="G13" s="25" t="inlineStr">
        <is>
          <t>P1</t>
        </is>
      </c>
      <c r="H13" s="25" t="inlineStr">
        <is>
          <t>finance.tsx</t>
        </is>
      </c>
      <c r="I13" s="25" t="inlineStr">
        <is>
          <t>Route through cache-bus.invalidateDomain instead of scattered queryClient.invalidateQueries so linked surfaces (dashboard, calendar, cashflow) update in one shot.</t>
        </is>
      </c>
      <c r="J13" s="26" t="inlineStr">
        <is>
          <t>PARTIAL</t>
        </is>
      </c>
      <c r="K13" s="27" t="inlineStr">
        <is>
          <t>Propagation via obligations/profiles domains where mutations exist.</t>
        </is>
      </c>
    </row>
    <row r="14" ht="42" customHeight="1" s="13">
      <c r="B14" s="28" t="inlineStr">
        <is>
          <t>Delete</t>
        </is>
      </c>
      <c r="C14" s="28" t="inlineStr">
        <is>
          <t>Subscriptions</t>
        </is>
      </c>
      <c r="D14" s="28" t="inlineStr">
        <is>
          <t>Delete Subscriptions → row disappears, no ghosts</t>
        </is>
      </c>
      <c r="E14" s="28" t="inlineStr">
        <is>
          <t>≤ 300 ms</t>
        </is>
      </c>
      <c r="F14" s="28" t="inlineStr">
        <is>
          <t>AT RISK</t>
        </is>
      </c>
      <c r="G14" s="28" t="inlineStr">
        <is>
          <t>P0</t>
        </is>
      </c>
      <c r="H14" s="28" t="inlineStr">
        <is>
          <t>finance.tsx + server/supabase-storage.ts:1595 deleteProfile cascade</t>
        </is>
      </c>
      <c r="I14" s="28" t="inlineStr">
        <is>
          <t>Confirm delete_profile_cascade RPC (migrations/009) is deployed to prod; legacy fallback path is O(items) sequential awaits (see Findings sheet row 6).</t>
        </is>
      </c>
      <c r="J14" s="26" t="inlineStr">
        <is>
          <t>PARTIAL</t>
        </is>
      </c>
      <c r="K14" s="27" t="inlineStr">
        <is>
          <t>Same as edit; cascade delete batched server-side.</t>
        </is>
      </c>
    </row>
    <row r="15" ht="42" customHeight="1" s="13">
      <c r="B15" s="25" t="inlineStr">
        <is>
          <t>Create</t>
        </is>
      </c>
      <c r="C15" s="25" t="inlineStr">
        <is>
          <t>Bills</t>
        </is>
      </c>
      <c r="D15" s="25" t="inlineStr">
        <is>
          <t>Create Bills → visible in relevant list</t>
        </is>
      </c>
      <c r="E15" s="25" t="inlineStr">
        <is>
          <t>≤ 200 ms optimistic</t>
        </is>
      </c>
      <c r="F15" s="25" t="inlineStr">
        <is>
          <t>FAIL</t>
        </is>
      </c>
      <c r="G15" s="25" t="inlineStr">
        <is>
          <t>P1</t>
        </is>
      </c>
      <c r="H15" s="25" t="inlineStr">
        <is>
          <t>dashboard.tsx markBillPaidMutation + liability-detail.tsx</t>
        </is>
      </c>
      <c r="I15" s="25" t="inlineStr">
        <is>
          <t>Adopt optimistic-context pattern (see components/CalendarView.tsx mutation) — snapshot list, insert temp row on onMutate, rollback on onError.</t>
        </is>
      </c>
      <c r="J15" s="26" t="inlineStr">
        <is>
          <t>PARTIAL</t>
        </is>
      </c>
      <c r="K15" s="27" t="inlineStr">
        <is>
          <t>Loan-bill create routes through obligations+events+notifications domains; create not optimistic. Mark-paid IS optimistic.</t>
        </is>
      </c>
    </row>
    <row r="16" ht="42" customHeight="1" s="13">
      <c r="B16" s="28" t="inlineStr">
        <is>
          <t>Edit</t>
        </is>
      </c>
      <c r="C16" s="28" t="inlineStr">
        <is>
          <t>Bills</t>
        </is>
      </c>
      <c r="D16" s="28" t="inlineStr">
        <is>
          <t>Edit Bills → old value replaced everywhere</t>
        </is>
      </c>
      <c r="E16" s="28" t="inlineStr">
        <is>
          <t>≤ 300 ms auto-refresh</t>
        </is>
      </c>
      <c r="F16" s="28" t="inlineStr">
        <is>
          <t>AT RISK</t>
        </is>
      </c>
      <c r="G16" s="28" t="inlineStr">
        <is>
          <t>P1</t>
        </is>
      </c>
      <c r="H16" s="28" t="inlineStr">
        <is>
          <t>dashboard.tsx markBillPaidMutation + liability-detail.tsx</t>
        </is>
      </c>
      <c r="I16" s="28" t="inlineStr">
        <is>
          <t>Route through cache-bus.invalidateDomain instead of scattered queryClient.invalidateQueries so linked surfaces (dashboard, calendar, cashflow) update in one shot.</t>
        </is>
      </c>
      <c r="J16" s="29" t="inlineStr">
        <is>
          <t>FIXED</t>
        </is>
      </c>
      <c r="K16" s="27" t="inlineStr">
        <is>
          <t>Bill pay/snooze optimistic + single domain invalidation (dashboard + ObligationsSection).</t>
        </is>
      </c>
    </row>
    <row r="17" ht="42" customHeight="1" s="13">
      <c r="B17" s="25" t="inlineStr">
        <is>
          <t>Delete</t>
        </is>
      </c>
      <c r="C17" s="25" t="inlineStr">
        <is>
          <t>Bills</t>
        </is>
      </c>
      <c r="D17" s="25" t="inlineStr">
        <is>
          <t>Delete Bills → row disappears, no ghosts</t>
        </is>
      </c>
      <c r="E17" s="25" t="inlineStr">
        <is>
          <t>≤ 300 ms</t>
        </is>
      </c>
      <c r="F17" s="25" t="inlineStr">
        <is>
          <t>AT RISK</t>
        </is>
      </c>
      <c r="G17" s="25" t="inlineStr">
        <is>
          <t>P0</t>
        </is>
      </c>
      <c r="H17" s="25" t="inlineStr">
        <is>
          <t>dashboard.tsx markBillPaidMutation + liability-detail.tsx + server/supabase-storage.ts:1595 deleteProfile cascade</t>
        </is>
      </c>
      <c r="I17" s="25" t="inlineStr">
        <is>
          <t>Confirm delete_profile_cascade RPC (migrations/009) is deployed to prod; legacy fallback path is O(items) sequential awaits (see Findings sheet row 6).</t>
        </is>
      </c>
      <c r="J17" s="29" t="inlineStr">
        <is>
          <t>FIXED</t>
        </is>
      </c>
      <c r="K17" s="27" t="inlineStr">
        <is>
          <t>Domain propagation; cascade fallback batched server-side.</t>
        </is>
      </c>
    </row>
    <row r="18" ht="42" customHeight="1" s="13">
      <c r="B18" s="28" t="inlineStr">
        <is>
          <t>Create</t>
        </is>
      </c>
      <c r="C18" s="28" t="inlineStr">
        <is>
          <t>Liabilities</t>
        </is>
      </c>
      <c r="D18" s="28" t="inlineStr">
        <is>
          <t>Create Liabilities → visible in relevant list</t>
        </is>
      </c>
      <c r="E18" s="28" t="inlineStr">
        <is>
          <t>≤ 200 ms optimistic</t>
        </is>
      </c>
      <c r="F18" s="28" t="inlineStr">
        <is>
          <t>FAIL</t>
        </is>
      </c>
      <c r="G18" s="28" t="inlineStr">
        <is>
          <t>P1</t>
        </is>
      </c>
      <c r="H18" s="28" t="inlineStr">
        <is>
          <t>liability-detail.tsx (3587 LOC, 66 invalidations)</t>
        </is>
      </c>
      <c r="I18" s="28" t="inlineStr">
        <is>
          <t>Adopt optimistic-context pattern (see components/CalendarView.tsx mutation) — snapshot list, insert temp row on onMutate, rollback on onError.</t>
        </is>
      </c>
      <c r="J18" s="26" t="inlineStr">
        <is>
          <t>PARTIAL</t>
        </is>
      </c>
      <c r="K18" s="27" t="inlineStr">
        <is>
          <t>Domain-bus propagation added; create not optimistic.</t>
        </is>
      </c>
    </row>
    <row r="19" ht="42" customHeight="1" s="13">
      <c r="B19" s="25" t="inlineStr">
        <is>
          <t>Edit</t>
        </is>
      </c>
      <c r="C19" s="25" t="inlineStr">
        <is>
          <t>Liabilities</t>
        </is>
      </c>
      <c r="D19" s="25" t="inlineStr">
        <is>
          <t>Edit Liabilities → old value replaced everywhere</t>
        </is>
      </c>
      <c r="E19" s="25" t="inlineStr">
        <is>
          <t>≤ 300 ms auto-refresh</t>
        </is>
      </c>
      <c r="F19" s="25" t="inlineStr">
        <is>
          <t>AT RISK</t>
        </is>
      </c>
      <c r="G19" s="25" t="inlineStr">
        <is>
          <t>P1</t>
        </is>
      </c>
      <c r="H19" s="25" t="inlineStr">
        <is>
          <t>liability-detail.tsx (3587 LOC, 66 invalidations)</t>
        </is>
      </c>
      <c r="I19" s="25" t="inlineStr">
        <is>
          <t>Route through cache-bus.invalidateDomain instead of scattered queryClient.invalidateQueries so linked surfaces (dashboard, calendar, cashflow) update in one shot.</t>
        </is>
      </c>
      <c r="J19" s="29" t="inlineStr">
        <is>
          <t>FIXED</t>
        </is>
      </c>
      <c r="K19" s="27" t="inlineStr">
        <is>
          <t>66→10 invalidations via liabilities/events/expenses domains.</t>
        </is>
      </c>
    </row>
    <row r="20" ht="42" customHeight="1" s="13">
      <c r="B20" s="28" t="inlineStr">
        <is>
          <t>Delete</t>
        </is>
      </c>
      <c r="C20" s="28" t="inlineStr">
        <is>
          <t>Liabilities</t>
        </is>
      </c>
      <c r="D20" s="28" t="inlineStr">
        <is>
          <t>Delete Liabilities → row disappears, no ghosts</t>
        </is>
      </c>
      <c r="E20" s="28" t="inlineStr">
        <is>
          <t>≤ 300 ms</t>
        </is>
      </c>
      <c r="F20" s="28" t="inlineStr">
        <is>
          <t>AT RISK</t>
        </is>
      </c>
      <c r="G20" s="28" t="inlineStr">
        <is>
          <t>P0</t>
        </is>
      </c>
      <c r="H20" s="28" t="inlineStr">
        <is>
          <t>liability-detail.tsx (3587 LOC, 66 invalidations) + server/supabase-storage.ts:1595 deleteProfile cascade</t>
        </is>
      </c>
      <c r="I20" s="28" t="inlineStr">
        <is>
          <t>Confirm delete_profile_cascade RPC (migrations/009) is deployed to prod; legacy fallback path is O(items) sequential awaits (see Findings sheet row 6).</t>
        </is>
      </c>
      <c r="J20" s="29" t="inlineStr">
        <is>
          <t>FIXED</t>
        </is>
      </c>
      <c r="K20" s="27" t="inlineStr">
        <is>
          <t>Optimistic link unlinks added; cascade batched server-side.</t>
        </is>
      </c>
    </row>
    <row r="21" ht="42" customHeight="1" s="13">
      <c r="B21" s="25" t="inlineStr">
        <is>
          <t>Create</t>
        </is>
      </c>
      <c r="C21" s="25" t="inlineStr">
        <is>
          <t>Events</t>
        </is>
      </c>
      <c r="D21" s="25" t="inlineStr">
        <is>
          <t>Create Events → visible in relevant list</t>
        </is>
      </c>
      <c r="E21" s="25" t="inlineStr">
        <is>
          <t>≤ 200 ms optimistic</t>
        </is>
      </c>
      <c r="F21" s="25" t="inlineStr">
        <is>
          <t>PASS</t>
        </is>
      </c>
      <c r="G21" s="25" t="inlineStr">
        <is>
          <t>—</t>
        </is>
      </c>
      <c r="H21" s="25" t="inlineStr">
        <is>
          <t>CalendarView.tsx (has optimistic updates — PASS example)</t>
        </is>
      </c>
      <c r="I21" s="25" t="inlineStr">
        <is>
          <t>Reference implementation.</t>
        </is>
      </c>
      <c r="J21" s="23" t="inlineStr">
        <is>
          <t>—</t>
        </is>
      </c>
      <c r="K21" s="27" t="inlineStr">
        <is>
          <t>Already passing (reference implementation).</t>
        </is>
      </c>
    </row>
    <row r="22" ht="42" customHeight="1" s="13">
      <c r="B22" s="28" t="inlineStr">
        <is>
          <t>Edit</t>
        </is>
      </c>
      <c r="C22" s="28" t="inlineStr">
        <is>
          <t>Events</t>
        </is>
      </c>
      <c r="D22" s="28" t="inlineStr">
        <is>
          <t>Edit Events → old value replaced everywhere</t>
        </is>
      </c>
      <c r="E22" s="28" t="inlineStr">
        <is>
          <t>≤ 300 ms auto-refresh</t>
        </is>
      </c>
      <c r="F22" s="28" t="inlineStr">
        <is>
          <t>AT RISK</t>
        </is>
      </c>
      <c r="G22" s="28" t="inlineStr">
        <is>
          <t>P1</t>
        </is>
      </c>
      <c r="H22" s="28" t="inlineStr">
        <is>
          <t>CalendarView.tsx (has optimistic updates — PASS example)</t>
        </is>
      </c>
      <c r="I22" s="28" t="inlineStr">
        <is>
          <t>Route through cache-bus.invalidateDomain instead of scattered queryClient.invalidateQueries so linked surfaces (dashboard, calendar, cashflow) update in one shot.</t>
        </is>
      </c>
      <c r="J22" s="29" t="inlineStr">
        <is>
          <t>FIXED</t>
        </is>
      </c>
      <c r="K22" s="27" t="inlineStr">
        <is>
          <t>Optimistic (pre-existing) + domain-bus consolidation.</t>
        </is>
      </c>
    </row>
    <row r="23" ht="42" customHeight="1" s="13">
      <c r="B23" s="25" t="inlineStr">
        <is>
          <t>Delete</t>
        </is>
      </c>
      <c r="C23" s="25" t="inlineStr">
        <is>
          <t>Events</t>
        </is>
      </c>
      <c r="D23" s="25" t="inlineStr">
        <is>
          <t>Delete Events → row disappears, no ghosts</t>
        </is>
      </c>
      <c r="E23" s="25" t="inlineStr">
        <is>
          <t>≤ 300 ms</t>
        </is>
      </c>
      <c r="F23" s="25" t="inlineStr">
        <is>
          <t>AT RISK</t>
        </is>
      </c>
      <c r="G23" s="25" t="inlineStr">
        <is>
          <t>P0</t>
        </is>
      </c>
      <c r="H23" s="25" t="inlineStr">
        <is>
          <t>CalendarView.tsx (has optimistic updates — PASS example) + server/supabase-storage.ts:1595 deleteProfile cascade</t>
        </is>
      </c>
      <c r="I23" s="25" t="inlineStr">
        <is>
          <t>Confirm delete_profile_cascade RPC (migrations/009) is deployed to prod; legacy fallback path is O(items) sequential awaits (see Findings sheet row 6).</t>
        </is>
      </c>
      <c r="J23" s="29" t="inlineStr">
        <is>
          <t>FIXED</t>
        </is>
      </c>
      <c r="K23" s="27" t="inlineStr">
        <is>
          <t>Optimistic (pre-existing); cascade batched server-side.</t>
        </is>
      </c>
    </row>
    <row r="24" ht="42" customHeight="1" s="13">
      <c r="B24" s="28" t="inlineStr">
        <is>
          <t>Create</t>
        </is>
      </c>
      <c r="C24" s="28" t="inlineStr">
        <is>
          <t>Goals</t>
        </is>
      </c>
      <c r="D24" s="28" t="inlineStr">
        <is>
          <t>Create Goals → visible in relevant list</t>
        </is>
      </c>
      <c r="E24" s="28" t="inlineStr">
        <is>
          <t>≤ 200 ms optimistic</t>
        </is>
      </c>
      <c r="F24" s="28" t="inlineStr">
        <is>
          <t>FAIL</t>
        </is>
      </c>
      <c r="G24" s="28" t="inlineStr">
        <is>
          <t>P1</t>
        </is>
      </c>
      <c r="H24" s="28" t="inlineStr">
        <is>
          <t>dashboard.tsx + profile-detail.tsx</t>
        </is>
      </c>
      <c r="I24" s="28" t="inlineStr">
        <is>
          <t>Adopt optimistic-context pattern (see components/CalendarView.tsx mutation) — snapshot list, insert temp row on onMutate, rollback on onError.</t>
        </is>
      </c>
      <c r="J24" s="26" t="inlineStr">
        <is>
          <t>PARTIAL</t>
        </is>
      </c>
      <c r="K24" s="27" t="inlineStr">
        <is>
          <t>Create routes through goals+trackers domains; progress update IS optimistic; create not optimistic.</t>
        </is>
      </c>
    </row>
    <row r="25" ht="42" customHeight="1" s="13">
      <c r="B25" s="25" t="inlineStr">
        <is>
          <t>Edit</t>
        </is>
      </c>
      <c r="C25" s="25" t="inlineStr">
        <is>
          <t>Goals</t>
        </is>
      </c>
      <c r="D25" s="25" t="inlineStr">
        <is>
          <t>Edit Goals → old value replaced everywhere</t>
        </is>
      </c>
      <c r="E25" s="25" t="inlineStr">
        <is>
          <t>≤ 300 ms auto-refresh</t>
        </is>
      </c>
      <c r="F25" s="25" t="inlineStr">
        <is>
          <t>AT RISK</t>
        </is>
      </c>
      <c r="G25" s="25" t="inlineStr">
        <is>
          <t>P1</t>
        </is>
      </c>
      <c r="H25" s="25" t="inlineStr">
        <is>
          <t>dashboard.tsx + profile-detail.tsx</t>
        </is>
      </c>
      <c r="I25" s="25" t="inlineStr">
        <is>
          <t>Route through cache-bus.invalidateDomain instead of scattered queryClient.invalidateQueries so linked surfaces (dashboard, calendar, cashflow) update in one shot.</t>
        </is>
      </c>
      <c r="J25" s="29" t="inlineStr">
        <is>
          <t>FIXED</t>
        </is>
      </c>
      <c r="K25" s="27" t="inlineStr">
        <is>
          <t>Goal progress optimistic with rollback (GoalsSection.updateMutation) + invalidateDomain('goals').</t>
        </is>
      </c>
    </row>
    <row r="26" ht="42" customHeight="1" s="13">
      <c r="B26" s="28" t="inlineStr">
        <is>
          <t>Delete</t>
        </is>
      </c>
      <c r="C26" s="28" t="inlineStr">
        <is>
          <t>Goals</t>
        </is>
      </c>
      <c r="D26" s="28" t="inlineStr">
        <is>
          <t>Delete Goals → row disappears, no ghosts</t>
        </is>
      </c>
      <c r="E26" s="28" t="inlineStr">
        <is>
          <t>≤ 300 ms</t>
        </is>
      </c>
      <c r="F26" s="28" t="inlineStr">
        <is>
          <t>AT RISK</t>
        </is>
      </c>
      <c r="G26" s="28" t="inlineStr">
        <is>
          <t>P0</t>
        </is>
      </c>
      <c r="H26" s="28" t="inlineStr">
        <is>
          <t>dashboard.tsx + profile-detail.tsx + server/supabase-storage.ts:1595 deleteProfile cascade</t>
        </is>
      </c>
      <c r="I26" s="28" t="inlineStr">
        <is>
          <t>Confirm delete_profile_cascade RPC (migrations/009) is deployed to prod; legacy fallback path is O(items) sequential awaits (see Findings sheet row 6).</t>
        </is>
      </c>
      <c r="J26" s="29" t="inlineStr">
        <is>
          <t>FIXED</t>
        </is>
      </c>
      <c r="K26" s="27" t="inlineStr">
        <is>
          <t>Domain propagation; cascade batched.</t>
        </is>
      </c>
    </row>
    <row r="27" ht="42" customHeight="1" s="13">
      <c r="B27" s="25" t="inlineStr">
        <is>
          <t>Create</t>
        </is>
      </c>
      <c r="C27" s="25" t="inlineStr">
        <is>
          <t>Documents</t>
        </is>
      </c>
      <c r="D27" s="25" t="inlineStr">
        <is>
          <t>Create Documents → visible in relevant list</t>
        </is>
      </c>
      <c r="E27" s="25" t="inlineStr">
        <is>
          <t>≤ 200 ms optimistic</t>
        </is>
      </c>
      <c r="F27" s="25" t="inlineStr">
        <is>
          <t>FAIL</t>
        </is>
      </c>
      <c r="G27" s="25" t="inlineStr">
        <is>
          <t>P1</t>
        </is>
      </c>
      <c r="H27" s="25" t="inlineStr">
        <is>
          <t>documents.tsx + document-detail.tsx</t>
        </is>
      </c>
      <c r="I27" s="25" t="inlineStr">
        <is>
          <t>Adopt optimistic-context pattern (see components/CalendarView.tsx mutation) — snapshot list, insert temp row on onMutate, rollback on onError.</t>
        </is>
      </c>
      <c r="J27" s="26" t="inlineStr">
        <is>
          <t>PARTIAL</t>
        </is>
      </c>
      <c r="K27" s="27" t="inlineStr">
        <is>
          <t>Upload flows route through documents/profiles domains; optimistic create N/A for file uploads.</t>
        </is>
      </c>
    </row>
    <row r="28" ht="42" customHeight="1" s="13">
      <c r="B28" s="28" t="inlineStr">
        <is>
          <t>Edit</t>
        </is>
      </c>
      <c r="C28" s="28" t="inlineStr">
        <is>
          <t>Documents</t>
        </is>
      </c>
      <c r="D28" s="28" t="inlineStr">
        <is>
          <t>Edit Documents → old value replaced everywhere</t>
        </is>
      </c>
      <c r="E28" s="28" t="inlineStr">
        <is>
          <t>≤ 300 ms auto-refresh</t>
        </is>
      </c>
      <c r="F28" s="28" t="inlineStr">
        <is>
          <t>AT RISK</t>
        </is>
      </c>
      <c r="G28" s="28" t="inlineStr">
        <is>
          <t>P1</t>
        </is>
      </c>
      <c r="H28" s="28" t="inlineStr">
        <is>
          <t>documents.tsx + document-detail.tsx</t>
        </is>
      </c>
      <c r="I28" s="28" t="inlineStr">
        <is>
          <t>Route through cache-bus.invalidateDomain instead of scattered queryClient.invalidateQueries so linked surfaces (dashboard, calendar, cashflow) update in one shot.</t>
        </is>
      </c>
      <c r="J28" s="29" t="inlineStr">
        <is>
          <t>FIXED</t>
        </is>
      </c>
      <c r="K28" s="27" t="inlineStr">
        <is>
          <t>Domain-bus propagation (documents domain).</t>
        </is>
      </c>
    </row>
    <row r="29" ht="42" customHeight="1" s="13">
      <c r="B29" s="25" t="inlineStr">
        <is>
          <t>Delete</t>
        </is>
      </c>
      <c r="C29" s="25" t="inlineStr">
        <is>
          <t>Documents</t>
        </is>
      </c>
      <c r="D29" s="25" t="inlineStr">
        <is>
          <t>Delete Documents → row disappears, no ghosts</t>
        </is>
      </c>
      <c r="E29" s="25" t="inlineStr">
        <is>
          <t>≤ 300 ms</t>
        </is>
      </c>
      <c r="F29" s="25" t="inlineStr">
        <is>
          <t>AT RISK</t>
        </is>
      </c>
      <c r="G29" s="25" t="inlineStr">
        <is>
          <t>P0</t>
        </is>
      </c>
      <c r="H29" s="25" t="inlineStr">
        <is>
          <t>documents.tsx + document-detail.tsx + server/supabase-storage.ts:1595 deleteProfile cascade</t>
        </is>
      </c>
      <c r="I29" s="25" t="inlineStr">
        <is>
          <t>Confirm delete_profile_cascade RPC (migrations/009) is deployed to prod; legacy fallback path is O(items) sequential awaits (see Findings sheet row 6).</t>
        </is>
      </c>
      <c r="J29" s="29" t="inlineStr">
        <is>
          <t>FIXED</t>
        </is>
      </c>
      <c r="K29" s="27" t="inlineStr">
        <is>
          <t>Domain propagation; doc delete sites migrated in trackers/profile-detail/liability-detail.</t>
        </is>
      </c>
    </row>
    <row r="30" ht="42" customHeight="1" s="13">
      <c r="B30" s="28" t="inlineStr">
        <is>
          <t>Create</t>
        </is>
      </c>
      <c r="C30" s="28" t="inlineStr">
        <is>
          <t>Notes</t>
        </is>
      </c>
      <c r="D30" s="28" t="inlineStr">
        <is>
          <t>Create Notes → visible in relevant list</t>
        </is>
      </c>
      <c r="E30" s="28" t="inlineStr">
        <is>
          <t>≤ 200 ms optimistic</t>
        </is>
      </c>
      <c r="F30" s="28" t="inlineStr">
        <is>
          <t>FAIL</t>
        </is>
      </c>
      <c r="G30" s="28" t="inlineStr">
        <is>
          <t>P1</t>
        </is>
      </c>
      <c r="H30" s="28" t="inlineStr">
        <is>
          <t>notes.tsx + editor.tsx</t>
        </is>
      </c>
      <c r="I30" s="28" t="inlineStr">
        <is>
          <t>Adopt optimistic-context pattern (see components/CalendarView.tsx mutation) — snapshot list, insert temp row on onMutate, rollback on onError.</t>
        </is>
      </c>
      <c r="J30" s="26" t="inlineStr">
        <is>
          <t>PARTIAL</t>
        </is>
      </c>
      <c r="K30" s="27" t="inlineStr">
        <is>
          <t>Cited notes.tsx does not exist; notes live in artifacts/editor which got error boundaries + already-dynamic exports. Artifact saves propagate via invalidation.</t>
        </is>
      </c>
    </row>
    <row r="31" ht="42" customHeight="1" s="13">
      <c r="B31" s="25" t="inlineStr">
        <is>
          <t>Edit</t>
        </is>
      </c>
      <c r="C31" s="25" t="inlineStr">
        <is>
          <t>Notes</t>
        </is>
      </c>
      <c r="D31" s="25" t="inlineStr">
        <is>
          <t>Edit Notes → old value replaced everywhere</t>
        </is>
      </c>
      <c r="E31" s="25" t="inlineStr">
        <is>
          <t>≤ 300 ms auto-refresh</t>
        </is>
      </c>
      <c r="F31" s="25" t="inlineStr">
        <is>
          <t>AT RISK</t>
        </is>
      </c>
      <c r="G31" s="25" t="inlineStr">
        <is>
          <t>P1</t>
        </is>
      </c>
      <c r="H31" s="25" t="inlineStr">
        <is>
          <t>notes.tsx + editor.tsx</t>
        </is>
      </c>
      <c r="I31" s="25" t="inlineStr">
        <is>
          <t>Route through cache-bus.invalidateDomain instead of scattered queryClient.invalidateQueries so linked surfaces (dashboard, calendar, cashflow) update in one shot.</t>
        </is>
      </c>
      <c r="J31" s="26" t="inlineStr">
        <is>
          <t>PARTIAL</t>
        </is>
      </c>
      <c r="K31" s="27" t="inlineStr">
        <is>
          <t>Editor saves persist; artifacts list invalidated (PullToRefresh busts /api/artifacts).</t>
        </is>
      </c>
    </row>
    <row r="32" ht="42" customHeight="1" s="13">
      <c r="B32" s="28" t="inlineStr">
        <is>
          <t>Delete</t>
        </is>
      </c>
      <c r="C32" s="28" t="inlineStr">
        <is>
          <t>Notes</t>
        </is>
      </c>
      <c r="D32" s="28" t="inlineStr">
        <is>
          <t>Delete Notes → row disappears, no ghosts</t>
        </is>
      </c>
      <c r="E32" s="28" t="inlineStr">
        <is>
          <t>≤ 300 ms</t>
        </is>
      </c>
      <c r="F32" s="28" t="inlineStr">
        <is>
          <t>AT RISK</t>
        </is>
      </c>
      <c r="G32" s="28" t="inlineStr">
        <is>
          <t>P0</t>
        </is>
      </c>
      <c r="H32" s="28" t="inlineStr">
        <is>
          <t>notes.tsx + editor.tsx + server/supabase-storage.ts:1595 deleteProfile cascade</t>
        </is>
      </c>
      <c r="I32" s="28" t="inlineStr">
        <is>
          <t>Confirm delete_profile_cascade RPC (migrations/009) is deployed to prod; legacy fallback path is O(items) sequential awaits (see Findings sheet row 6).</t>
        </is>
      </c>
      <c r="J32" s="26" t="inlineStr">
        <is>
          <t>PARTIAL</t>
        </is>
      </c>
      <c r="K32" s="27" t="inlineStr">
        <is>
          <t>Artifact delete propagates via query invalidation; no undo (artifact content re-create unverified).</t>
        </is>
      </c>
    </row>
    <row r="33" ht="42" customHeight="1" s="13">
      <c r="B33" s="25" t="inlineStr">
        <is>
          <t>Create</t>
        </is>
      </c>
      <c r="C33" s="25" t="inlineStr">
        <is>
          <t>Trackers</t>
        </is>
      </c>
      <c r="D33" s="25" t="inlineStr">
        <is>
          <t>Create Trackers → visible in relevant list</t>
        </is>
      </c>
      <c r="E33" s="25" t="inlineStr">
        <is>
          <t>≤ 200 ms optimistic</t>
        </is>
      </c>
      <c r="F33" s="25" t="inlineStr">
        <is>
          <t>FAIL</t>
        </is>
      </c>
      <c r="G33" s="25" t="inlineStr">
        <is>
          <t>P1</t>
        </is>
      </c>
      <c r="H33" s="25" t="inlineStr">
        <is>
          <t>trackers.tsx (7736 LOC, 50 invalidations) + profile-detail.tsx</t>
        </is>
      </c>
      <c r="I33" s="25" t="inlineStr">
        <is>
          <t>Adopt optimistic-context pattern (see components/CalendarView.tsx mutation) — snapshot list, insert temp row on onMutate, rollback on onError.</t>
        </is>
      </c>
      <c r="J33" s="26" t="inlineStr">
        <is>
          <t>PARTIAL</t>
        </is>
      </c>
      <c r="K33" s="27" t="inlineStr">
        <is>
          <t>Tracker create/edit/rename/delete migrated to domain bus; entry-add IS optimistic; tracker create not optimistic.</t>
        </is>
      </c>
    </row>
    <row r="34" ht="42" customHeight="1" s="13">
      <c r="B34" s="28" t="inlineStr">
        <is>
          <t>Edit</t>
        </is>
      </c>
      <c r="C34" s="28" t="inlineStr">
        <is>
          <t>Trackers</t>
        </is>
      </c>
      <c r="D34" s="28" t="inlineStr">
        <is>
          <t>Edit Trackers → old value replaced everywhere</t>
        </is>
      </c>
      <c r="E34" s="28" t="inlineStr">
        <is>
          <t>≤ 300 ms auto-refresh</t>
        </is>
      </c>
      <c r="F34" s="28" t="inlineStr">
        <is>
          <t>AT RISK</t>
        </is>
      </c>
      <c r="G34" s="28" t="inlineStr">
        <is>
          <t>P1</t>
        </is>
      </c>
      <c r="H34" s="28" t="inlineStr">
        <is>
          <t>trackers.tsx (7736 LOC, 50 invalidations) + profile-detail.tsx</t>
        </is>
      </c>
      <c r="I34" s="28" t="inlineStr">
        <is>
          <t>Route through cache-bus.invalidateDomain instead of scattered queryClient.invalidateQueries so linked surfaces (dashboard, calendar, cashflow) update in one shot.</t>
        </is>
      </c>
      <c r="J34" s="29" t="inlineStr">
        <is>
          <t>FIXED</t>
        </is>
      </c>
      <c r="K34" s="27" t="inlineStr">
        <is>
          <t>Domain bus + deliberate refetchType:'all' keepers for the entry-count badge bug.</t>
        </is>
      </c>
    </row>
    <row r="35" ht="42" customHeight="1" s="13">
      <c r="B35" s="25" t="inlineStr">
        <is>
          <t>Delete</t>
        </is>
      </c>
      <c r="C35" s="25" t="inlineStr">
        <is>
          <t>Trackers</t>
        </is>
      </c>
      <c r="D35" s="25" t="inlineStr">
        <is>
          <t>Delete Trackers → row disappears, no ghosts</t>
        </is>
      </c>
      <c r="E35" s="25" t="inlineStr">
        <is>
          <t>≤ 300 ms</t>
        </is>
      </c>
      <c r="F35" s="25" t="inlineStr">
        <is>
          <t>AT RISK</t>
        </is>
      </c>
      <c r="G35" s="25" t="inlineStr">
        <is>
          <t>P0</t>
        </is>
      </c>
      <c r="H35" s="25" t="inlineStr">
        <is>
          <t>trackers.tsx (7736 LOC, 50 invalidations) + profile-detail.tsx + server/supabase-storage.ts:1595 deleteProfile cascade</t>
        </is>
      </c>
      <c r="I35" s="25" t="inlineStr">
        <is>
          <t>Confirm delete_profile_cascade RPC (migrations/009) is deployed to prod; legacy fallback path is O(items) sequential awaits (see Findings sheet row 6).</t>
        </is>
      </c>
      <c r="J35" s="29" t="inlineStr">
        <is>
          <t>FIXED</t>
        </is>
      </c>
      <c r="K35" s="27" t="inlineStr">
        <is>
          <t>Domain propagation; server cascade batched. Whole-tracker undo deliberately skipped (server-side cascade).</t>
        </is>
      </c>
    </row>
    <row r="36" ht="42" customHeight="1" s="13">
      <c r="B36" s="28" t="inlineStr">
        <is>
          <t>Create</t>
        </is>
      </c>
      <c r="C36" s="28" t="inlineStr">
        <is>
          <t>Assets</t>
        </is>
      </c>
      <c r="D36" s="28" t="inlineStr">
        <is>
          <t>Create Assets → visible in relevant list</t>
        </is>
      </c>
      <c r="E36" s="28" t="inlineStr">
        <is>
          <t>≤ 200 ms optimistic</t>
        </is>
      </c>
      <c r="F36" s="28" t="inlineStr">
        <is>
          <t>FAIL</t>
        </is>
      </c>
      <c r="G36" s="28" t="inlineStr">
        <is>
          <t>P1</t>
        </is>
      </c>
      <c r="H36" s="28" t="inlineStr">
        <is>
          <t>profile-detail.tsx</t>
        </is>
      </c>
      <c r="I36" s="28" t="inlineStr">
        <is>
          <t>Adopt optimistic-context pattern (see components/CalendarView.tsx mutation) — snapshot list, insert temp row on onMutate, rollback on onError.</t>
        </is>
      </c>
      <c r="J36" s="26" t="inlineStr">
        <is>
          <t>PARTIAL</t>
        </is>
      </c>
      <c r="K36" s="27" t="inlineStr">
        <is>
          <t>profile-detail flows migrated to domain bus; create not optimistic.</t>
        </is>
      </c>
    </row>
    <row r="37" ht="42" customHeight="1" s="13">
      <c r="B37" s="25" t="inlineStr">
        <is>
          <t>Edit</t>
        </is>
      </c>
      <c r="C37" s="25" t="inlineStr">
        <is>
          <t>Assets</t>
        </is>
      </c>
      <c r="D37" s="25" t="inlineStr">
        <is>
          <t>Edit Assets → old value replaced everywhere</t>
        </is>
      </c>
      <c r="E37" s="25" t="inlineStr">
        <is>
          <t>≤ 300 ms auto-refresh</t>
        </is>
      </c>
      <c r="F37" s="25" t="inlineStr">
        <is>
          <t>AT RISK</t>
        </is>
      </c>
      <c r="G37" s="25" t="inlineStr">
        <is>
          <t>P1</t>
        </is>
      </c>
      <c r="H37" s="25" t="inlineStr">
        <is>
          <t>profile-detail.tsx</t>
        </is>
      </c>
      <c r="I37" s="25" t="inlineStr">
        <is>
          <t>Route through cache-bus.invalidateDomain instead of scattered queryClient.invalidateQueries so linked surfaces (dashboard, calendar, cashflow) update in one shot.</t>
        </is>
      </c>
      <c r="J37" s="29" t="inlineStr">
        <is>
          <t>FIXED</t>
        </is>
      </c>
      <c r="K37" s="27" t="inlineStr">
        <is>
          <t>Domain-bus propagation (profiles/trackers/expenses domains per block).</t>
        </is>
      </c>
    </row>
    <row r="38" ht="42" customHeight="1" s="13">
      <c r="B38" s="28" t="inlineStr">
        <is>
          <t>Delete</t>
        </is>
      </c>
      <c r="C38" s="28" t="inlineStr">
        <is>
          <t>Assets</t>
        </is>
      </c>
      <c r="D38" s="28" t="inlineStr">
        <is>
          <t>Delete Assets → row disappears, no ghosts</t>
        </is>
      </c>
      <c r="E38" s="28" t="inlineStr">
        <is>
          <t>≤ 300 ms</t>
        </is>
      </c>
      <c r="F38" s="28" t="inlineStr">
        <is>
          <t>AT RISK</t>
        </is>
      </c>
      <c r="G38" s="28" t="inlineStr">
        <is>
          <t>P0</t>
        </is>
      </c>
      <c r="H38" s="28" t="inlineStr">
        <is>
          <t>profile-detail.tsx + server/supabase-storage.ts:1595 deleteProfile cascade</t>
        </is>
      </c>
      <c r="I38" s="28" t="inlineStr">
        <is>
          <t>Confirm delete_profile_cascade RPC (migrations/009) is deployed to prod; legacy fallback path is O(items) sequential awaits (see Findings sheet row 6).</t>
        </is>
      </c>
      <c r="J38" s="29" t="inlineStr">
        <is>
          <t>FIXED</t>
        </is>
      </c>
      <c r="K38" s="27" t="inlineStr">
        <is>
          <t>Domain propagation + batched server cascade.</t>
        </is>
      </c>
    </row>
    <row r="39" ht="42" customHeight="1" s="13">
      <c r="B39" s="25" t="inlineStr">
        <is>
          <t>Create</t>
        </is>
      </c>
      <c r="C39" s="25" t="inlineStr">
        <is>
          <t>People profiles</t>
        </is>
      </c>
      <c r="D39" s="25" t="inlineStr">
        <is>
          <t>Create People profiles → visible in relevant list</t>
        </is>
      </c>
      <c r="E39" s="25" t="inlineStr">
        <is>
          <t>≤ 200 ms optimistic</t>
        </is>
      </c>
      <c r="F39" s="25" t="inlineStr">
        <is>
          <t>FAIL</t>
        </is>
      </c>
      <c r="G39" s="25" t="inlineStr">
        <is>
          <t>P1</t>
        </is>
      </c>
      <c r="H39" s="25" t="inlineStr">
        <is>
          <t>profile-detail.tsx</t>
        </is>
      </c>
      <c r="I39" s="25" t="inlineStr">
        <is>
          <t>Adopt optimistic-context pattern (see components/CalendarView.tsx mutation) — snapshot list, insert temp row on onMutate, rollback on onError.</t>
        </is>
      </c>
      <c r="J39" s="26" t="inlineStr">
        <is>
          <t>PARTIAL</t>
        </is>
      </c>
      <c r="K39" s="27" t="inlineStr">
        <is>
          <t>Domain-bus propagation; create not optimistic.</t>
        </is>
      </c>
    </row>
    <row r="40" ht="42" customHeight="1" s="13">
      <c r="B40" s="28" t="inlineStr">
        <is>
          <t>Edit</t>
        </is>
      </c>
      <c r="C40" s="28" t="inlineStr">
        <is>
          <t>People profiles</t>
        </is>
      </c>
      <c r="D40" s="28" t="inlineStr">
        <is>
          <t>Edit People profiles → old value replaced everywhere</t>
        </is>
      </c>
      <c r="E40" s="28" t="inlineStr">
        <is>
          <t>≤ 300 ms auto-refresh</t>
        </is>
      </c>
      <c r="F40" s="28" t="inlineStr">
        <is>
          <t>AT RISK</t>
        </is>
      </c>
      <c r="G40" s="28" t="inlineStr">
        <is>
          <t>P1</t>
        </is>
      </c>
      <c r="H40" s="28" t="inlineStr">
        <is>
          <t>profile-detail.tsx</t>
        </is>
      </c>
      <c r="I40" s="28" t="inlineStr">
        <is>
          <t>Route through cache-bus.invalidateDomain instead of scattered queryClient.invalidateQueries so linked surfaces (dashboard, calendar, cashflow) update in one shot.</t>
        </is>
      </c>
      <c r="J40" s="29" t="inlineStr">
        <is>
          <t>FIXED</t>
        </is>
      </c>
      <c r="K40" s="27" t="inlineStr">
        <is>
          <t>Domain-bus propagation incl. people domain for ownership links.</t>
        </is>
      </c>
    </row>
    <row r="41" ht="42" customHeight="1" s="13">
      <c r="B41" s="25" t="inlineStr">
        <is>
          <t>Delete</t>
        </is>
      </c>
      <c r="C41" s="25" t="inlineStr">
        <is>
          <t>People profiles</t>
        </is>
      </c>
      <c r="D41" s="25" t="inlineStr">
        <is>
          <t>Delete People profiles → row disappears, no ghosts</t>
        </is>
      </c>
      <c r="E41" s="25" t="inlineStr">
        <is>
          <t>≤ 300 ms</t>
        </is>
      </c>
      <c r="F41" s="25" t="inlineStr">
        <is>
          <t>AT RISK</t>
        </is>
      </c>
      <c r="G41" s="25" t="inlineStr">
        <is>
          <t>P0</t>
        </is>
      </c>
      <c r="H41" s="25" t="inlineStr">
        <is>
          <t>profile-detail.tsx + server/supabase-storage.ts:1595 deleteProfile cascade</t>
        </is>
      </c>
      <c r="I41" s="25" t="inlineStr">
        <is>
          <t>Confirm delete_profile_cascade RPC (migrations/009) is deployed to prod; legacy fallback path is O(items) sequential awaits (see Findings sheet row 6).</t>
        </is>
      </c>
      <c r="J41" s="29" t="inlineStr">
        <is>
          <t>FIXED</t>
        </is>
      </c>
      <c r="K41" s="27" t="inlineStr">
        <is>
          <t>Cascade fallback batched (~300 sequential awaits → ~12 parallel waves); domain propagation.</t>
        </is>
      </c>
    </row>
    <row r="42" ht="42" customHeight="1" s="13">
      <c r="B42" s="28" t="inlineStr">
        <is>
          <t>Create</t>
        </is>
      </c>
      <c r="C42" s="28" t="inlineStr">
        <is>
          <t>Pet profiles</t>
        </is>
      </c>
      <c r="D42" s="28" t="inlineStr">
        <is>
          <t>Create Pet profiles → visible in relevant list</t>
        </is>
      </c>
      <c r="E42" s="28" t="inlineStr">
        <is>
          <t>≤ 200 ms optimistic</t>
        </is>
      </c>
      <c r="F42" s="28" t="inlineStr">
        <is>
          <t>FAIL</t>
        </is>
      </c>
      <c r="G42" s="28" t="inlineStr">
        <is>
          <t>P1</t>
        </is>
      </c>
      <c r="H42" s="28" t="inlineStr">
        <is>
          <t>profile-detail.tsx</t>
        </is>
      </c>
      <c r="I42" s="28" t="inlineStr">
        <is>
          <t>Adopt optimistic-context pattern (see components/CalendarView.tsx mutation) — snapshot list, insert temp row on onMutate, rollback on onError.</t>
        </is>
      </c>
      <c r="J42" s="26" t="inlineStr">
        <is>
          <t>PARTIAL</t>
        </is>
      </c>
      <c r="K42" s="27" t="inlineStr">
        <is>
          <t>Same as people profiles.</t>
        </is>
      </c>
    </row>
    <row r="43" ht="42" customHeight="1" s="13">
      <c r="B43" s="25" t="inlineStr">
        <is>
          <t>Edit</t>
        </is>
      </c>
      <c r="C43" s="25" t="inlineStr">
        <is>
          <t>Pet profiles</t>
        </is>
      </c>
      <c r="D43" s="25" t="inlineStr">
        <is>
          <t>Edit Pet profiles → old value replaced everywhere</t>
        </is>
      </c>
      <c r="E43" s="25" t="inlineStr">
        <is>
          <t>≤ 300 ms auto-refresh</t>
        </is>
      </c>
      <c r="F43" s="25" t="inlineStr">
        <is>
          <t>AT RISK</t>
        </is>
      </c>
      <c r="G43" s="25" t="inlineStr">
        <is>
          <t>P1</t>
        </is>
      </c>
      <c r="H43" s="25" t="inlineStr">
        <is>
          <t>profile-detail.tsx</t>
        </is>
      </c>
      <c r="I43" s="25" t="inlineStr">
        <is>
          <t>Route through cache-bus.invalidateDomain instead of scattered queryClient.invalidateQueries so linked surfaces (dashboard, calendar, cashflow) update in one shot.</t>
        </is>
      </c>
      <c r="J43" s="29" t="inlineStr">
        <is>
          <t>FIXED</t>
        </is>
      </c>
      <c r="K43" s="27" t="inlineStr">
        <is>
          <t>Same as people profiles.</t>
        </is>
      </c>
    </row>
    <row r="44" ht="42" customHeight="1" s="13">
      <c r="B44" s="28" t="inlineStr">
        <is>
          <t>Delete</t>
        </is>
      </c>
      <c r="C44" s="28" t="inlineStr">
        <is>
          <t>Pet profiles</t>
        </is>
      </c>
      <c r="D44" s="28" t="inlineStr">
        <is>
          <t>Delete Pet profiles → row disappears, no ghosts</t>
        </is>
      </c>
      <c r="E44" s="28" t="inlineStr">
        <is>
          <t>≤ 300 ms</t>
        </is>
      </c>
      <c r="F44" s="28" t="inlineStr">
        <is>
          <t>AT RISK</t>
        </is>
      </c>
      <c r="G44" s="28" t="inlineStr">
        <is>
          <t>P0</t>
        </is>
      </c>
      <c r="H44" s="28" t="inlineStr">
        <is>
          <t>profile-detail.tsx + server/supabase-storage.ts:1595 deleteProfile cascade</t>
        </is>
      </c>
      <c r="I44" s="28" t="inlineStr">
        <is>
          <t>Confirm delete_profile_cascade RPC (migrations/009) is deployed to prod; legacy fallback path is O(items) sequential awaits (see Findings sheet row 6).</t>
        </is>
      </c>
      <c r="J44" s="29" t="inlineStr">
        <is>
          <t>FIXED</t>
        </is>
      </c>
      <c r="K44" s="27" t="inlineStr">
        <is>
          <t>Same as people profiles.</t>
        </is>
      </c>
    </row>
    <row r="45" ht="42" customHeight="1" s="13">
      <c r="B45" s="25" t="inlineStr">
        <is>
          <t>Create</t>
        </is>
      </c>
      <c r="C45" s="25" t="inlineStr">
        <is>
          <t>Chat-created items</t>
        </is>
      </c>
      <c r="D45" s="25" t="inlineStr">
        <is>
          <t>Create Chat-created items → visible in relevant list</t>
        </is>
      </c>
      <c r="E45" s="25" t="inlineStr">
        <is>
          <t>≤ 200 ms optimistic</t>
        </is>
      </c>
      <c r="F45" s="25" t="inlineStr">
        <is>
          <t>FAIL</t>
        </is>
      </c>
      <c r="G45" s="25" t="inlineStr">
        <is>
          <t>P1</t>
        </is>
      </c>
      <c r="H45" s="25" t="inlineStr">
        <is>
          <t>chat.tsx + server/routes.ts /api/chat</t>
        </is>
      </c>
      <c r="I45" s="25" t="inlineStr">
        <is>
          <t>Adopt optimistic-context pattern (see components/CalendarView.tsx mutation) — snapshot list, insert temp row on onMutate, rollback on onError.</t>
        </is>
      </c>
      <c r="J45" s="29" t="inlineStr">
        <is>
          <t>FIXED</t>
        </is>
      </c>
      <c r="K45" s="27" t="inlineStr">
        <is>
          <t>tool_result SSE frames render cards as tools complete; onSuccess invalidateAll (cache-bus) lands items in modules without refresh.</t>
        </is>
      </c>
    </row>
    <row r="46" ht="42" customHeight="1" s="13">
      <c r="B46" s="28" t="inlineStr">
        <is>
          <t>Edit</t>
        </is>
      </c>
      <c r="C46" s="28" t="inlineStr">
        <is>
          <t>Chat-created items</t>
        </is>
      </c>
      <c r="D46" s="28" t="inlineStr">
        <is>
          <t>Edit Chat-created items → old value replaced everywhere</t>
        </is>
      </c>
      <c r="E46" s="28" t="inlineStr">
        <is>
          <t>≤ 300 ms auto-refresh</t>
        </is>
      </c>
      <c r="F46" s="28" t="inlineStr">
        <is>
          <t>AT RISK</t>
        </is>
      </c>
      <c r="G46" s="28" t="inlineStr">
        <is>
          <t>P1</t>
        </is>
      </c>
      <c r="H46" s="28" t="inlineStr">
        <is>
          <t>chat.tsx + server/routes.ts /api/chat</t>
        </is>
      </c>
      <c r="I46" s="28" t="inlineStr">
        <is>
          <t>Route through cache-bus.invalidateDomain instead of scattered queryClient.invalidateQueries so linked surfaces (dashboard, calendar, cashflow) update in one shot.</t>
        </is>
      </c>
      <c r="J46" s="29" t="inlineStr">
        <is>
          <t>FIXED</t>
        </is>
      </c>
      <c r="K46" s="27" t="inlineStr">
        <is>
          <t>Same invalidation path.</t>
        </is>
      </c>
    </row>
    <row r="47" ht="42" customHeight="1" s="13">
      <c r="B47" s="25" t="inlineStr">
        <is>
          <t>Delete</t>
        </is>
      </c>
      <c r="C47" s="25" t="inlineStr">
        <is>
          <t>Chat-created items</t>
        </is>
      </c>
      <c r="D47" s="25" t="inlineStr">
        <is>
          <t>Delete Chat-created items → row disappears, no ghosts</t>
        </is>
      </c>
      <c r="E47" s="25" t="inlineStr">
        <is>
          <t>≤ 300 ms</t>
        </is>
      </c>
      <c r="F47" s="25" t="inlineStr">
        <is>
          <t>AT RISK</t>
        </is>
      </c>
      <c r="G47" s="25" t="inlineStr">
        <is>
          <t>P0</t>
        </is>
      </c>
      <c r="H47" s="25" t="inlineStr">
        <is>
          <t>chat.tsx + server/routes.ts /api/chat + server/supabase-storage.ts:1595 deleteProfile cascade</t>
        </is>
      </c>
      <c r="I47" s="25" t="inlineStr">
        <is>
          <t>Confirm delete_profile_cascade RPC (migrations/009) is deployed to prod; legacy fallback path is O(items) sequential awaits (see Findings sheet row 6).</t>
        </is>
      </c>
      <c r="J47" s="29" t="inlineStr">
        <is>
          <t>FIXED</t>
        </is>
      </c>
      <c r="K47" s="27" t="inlineStr">
        <is>
          <t>Same invalidation path; cascade batched.</t>
        </is>
      </c>
    </row>
    <row r="48" ht="42" customHeight="1" s="13">
      <c r="B48" s="28" t="inlineStr">
        <is>
          <t>Ack</t>
        </is>
      </c>
      <c r="C48" s="28" t="inlineStr">
        <is>
          <t>All entities</t>
        </is>
      </c>
      <c r="D48" s="28" t="inlineStr">
        <is>
          <t>Tap Create → button ack (spinner/optimistic row)</t>
        </is>
      </c>
      <c r="E48" s="28" t="inlineStr">
        <is>
          <t>≤ 100 ms</t>
        </is>
      </c>
      <c r="F48" s="28" t="inlineStr">
        <is>
          <t>FAIL</t>
        </is>
      </c>
      <c r="G48" s="28" t="inlineStr">
        <is>
          <t>P1</t>
        </is>
      </c>
      <c r="H48" s="28" t="inlineStr">
        <is>
          <t>Most create mutations paint the temp row only on onSuccess</t>
        </is>
      </c>
      <c r="I48" s="28" t="inlineStr">
        <is>
          <t>onMutate → local push + queryClient.setQueryData; onSuccess replaces temp id with server id.</t>
        </is>
      </c>
      <c r="J48" s="29" t="inlineStr">
        <is>
          <t>FIXED</t>
        </is>
      </c>
      <c r="K48" s="27" t="inlineStr">
        <is>
          <t>Optimistic rows for tasks/expenses/tracker entries/quick-log; remaining creates show pending state + &lt;500ms confirmed.</t>
        </is>
      </c>
    </row>
    <row r="49" ht="42" customHeight="1" s="13">
      <c r="B49" s="25" t="inlineStr">
        <is>
          <t>Persist</t>
        </is>
      </c>
      <c r="C49" s="25" t="inlineStr">
        <is>
          <t>All entities</t>
        </is>
      </c>
      <c r="D49" s="25" t="inlineStr">
        <is>
          <t>Server confirms create</t>
        </is>
      </c>
      <c r="E49" s="25" t="inlineStr">
        <is>
          <t>≤ 400 ms p75</t>
        </is>
      </c>
      <c r="F49" s="25" t="inlineStr">
        <is>
          <t>UNVERIFIED</t>
        </is>
      </c>
      <c r="G49" s="25" t="inlineStr">
        <is>
          <t>—</t>
        </is>
      </c>
      <c r="H49" s="25" t="inlineStr">
        <is>
          <t>server/routes.ts POST /api/* + Vercel pdx1</t>
        </is>
      </c>
      <c r="I49" s="25" t="inlineStr">
        <is>
          <t>Measure with Vercel logs; if p75 &gt; 400 ms, look for [slow-query] entries in supabase-storage.ts.</t>
        </is>
      </c>
      <c r="J49" s="30" t="inlineStr">
        <is>
          <t>DEFERRED</t>
        </is>
      </c>
      <c r="K49" s="27" t="inlineStr">
        <is>
          <t>Needs live Vercel p75 measurement ([slow-query] logging already in place).</t>
        </is>
      </c>
    </row>
    <row r="50" ht="42" customHeight="1" s="13">
      <c r="B50" s="28" t="inlineStr">
        <is>
          <t>Reconcile</t>
        </is>
      </c>
      <c r="C50" s="28" t="inlineStr">
        <is>
          <t>All entities</t>
        </is>
      </c>
      <c r="D50" s="28" t="inlineStr">
        <is>
          <t>Optimistic row swaps to real row silently</t>
        </is>
      </c>
      <c r="E50" s="28" t="inlineStr">
        <is>
          <t>No flash</t>
        </is>
      </c>
      <c r="F50" s="28" t="inlineStr">
        <is>
          <t>FAIL</t>
        </is>
      </c>
      <c r="G50" s="28" t="inlineStr">
        <is>
          <t>P2</t>
        </is>
      </c>
      <c r="H50" s="28" t="inlineStr">
        <is>
          <t>Since optimistic UI is missing, this can't happen</t>
        </is>
      </c>
      <c r="I50" s="28" t="inlineStr">
        <is>
          <t>Comes free with the optimistic-context migration above.</t>
        </is>
      </c>
      <c r="J50" s="29" t="inlineStr">
        <is>
          <t>FIXED</t>
        </is>
      </c>
      <c r="K50" s="27" t="inlineStr">
        <is>
          <t>Temp-id → server-id swap implemented in expense/task/tracker-entry optimistic paths.</t>
        </is>
      </c>
    </row>
    <row r="51" ht="42" customHeight="1" s="13">
      <c r="B51" s="25" t="inlineStr">
        <is>
          <t>Edit ack</t>
        </is>
      </c>
      <c r="C51" s="25" t="inlineStr">
        <is>
          <t>All entities</t>
        </is>
      </c>
      <c r="D51" s="25" t="inlineStr">
        <is>
          <t>Save edit → field flashes/toast</t>
        </is>
      </c>
      <c r="E51" s="25" t="inlineStr">
        <is>
          <t>≤ 200 ms</t>
        </is>
      </c>
      <c r="F51" s="25" t="inlineStr">
        <is>
          <t>PASS</t>
        </is>
      </c>
      <c r="G51" s="25" t="inlineStr">
        <is>
          <t>—</t>
        </is>
      </c>
      <c r="H51" s="25" t="inlineStr">
        <is>
          <t>components/ui/toast.tsx wired to sonner via useToast</t>
        </is>
      </c>
      <c r="I51" s="25" t="inlineStr">
        <is>
          <t>No change.</t>
        </is>
      </c>
      <c r="J51" s="23" t="inlineStr">
        <is>
          <t>—</t>
        </is>
      </c>
      <c r="K51" s="27" t="inlineStr">
        <is>
          <t>Already passing.</t>
        </is>
      </c>
    </row>
    <row r="52" ht="42" customHeight="1" s="13">
      <c r="B52" s="28" t="inlineStr">
        <is>
          <t>Delete confirm</t>
        </is>
      </c>
      <c r="C52" s="28" t="inlineStr">
        <is>
          <t>All entities</t>
        </is>
      </c>
      <c r="D52" s="28" t="inlineStr">
        <is>
          <t>Confirm dialog → row fades</t>
        </is>
      </c>
      <c r="E52" s="28" t="inlineStr">
        <is>
          <t>≤ 250 ms + 300 ms fade</t>
        </is>
      </c>
      <c r="F52" s="28" t="inlineStr">
        <is>
          <t>PASS</t>
        </is>
      </c>
      <c r="G52" s="28" t="inlineStr">
        <is>
          <t>—</t>
        </is>
      </c>
      <c r="H52" s="28" t="inlineStr">
        <is>
          <t>components/ui/alert-dialog.tsx</t>
        </is>
      </c>
      <c r="I52" s="28" t="inlineStr">
        <is>
          <t>No change.</t>
        </is>
      </c>
      <c r="J52" s="23" t="inlineStr">
        <is>
          <t>—</t>
        </is>
      </c>
      <c r="K52" s="27" t="inlineStr">
        <is>
          <t>Already passing.</t>
        </is>
      </c>
    </row>
    <row r="53" ht="42" customHeight="1" s="13">
      <c r="B53" s="25" t="inlineStr">
        <is>
          <t>Undo</t>
        </is>
      </c>
      <c r="C53" s="25" t="inlineStr">
        <is>
          <t>Delete</t>
        </is>
      </c>
      <c r="D53" s="25" t="inlineStr">
        <is>
          <t>Toast Undo restores row</t>
        </is>
      </c>
      <c r="E53" s="25" t="inlineStr">
        <is>
          <t>≤ 300 ms of tap</t>
        </is>
      </c>
      <c r="F53" s="25" t="inlineStr">
        <is>
          <t>FAIL</t>
        </is>
      </c>
      <c r="G53" s="25" t="inlineStr">
        <is>
          <t>P2</t>
        </is>
      </c>
      <c r="H53" s="25" t="inlineStr">
        <is>
          <t>No undo path found for any entity delete</t>
        </is>
      </c>
      <c r="I53" s="25" t="inlineStr">
        <is>
          <t>Add sonner action-toast on delete mutations that re-POSTs the deleted row within 5s.</t>
        </is>
      </c>
      <c r="J53" s="29" t="inlineStr">
        <is>
          <t>FIXED</t>
        </is>
      </c>
      <c r="K53" s="27" t="inlineStr">
        <is>
          <t>Undo toasts: tasks &amp; habits (server restore endpoints), expenses, incomes, paychecks, tracker entries (verified-lossless re-create with optimistic reinsert).</t>
        </is>
      </c>
    </row>
    <row r="54" ht="42" customHeight="1" s="13">
      <c r="B54" s="28" t="inlineStr">
        <is>
          <t>Propagate</t>
        </is>
      </c>
      <c r="C54" s="28" t="inlineStr">
        <is>
          <t>All entities</t>
        </is>
      </c>
      <c r="D54" s="28" t="inlineStr">
        <is>
          <t>Delete → dashboard/calendar/finance all update</t>
        </is>
      </c>
      <c r="E54" s="28" t="inlineStr">
        <is>
          <t>≤ 500 ms</t>
        </is>
      </c>
      <c r="F54" s="28" t="inlineStr">
        <is>
          <t>FAIL</t>
        </is>
      </c>
      <c r="G54" s="28" t="inlineStr">
        <is>
          <t>P1</t>
        </is>
      </c>
      <c r="H54" s="28" t="inlineStr">
        <is>
          <t>Duplicate query keys on dashboard.tsx (/api/profiles ×3, /api/events ×3, /api/goals ×3) mean partial invalidation misses</t>
        </is>
      </c>
      <c r="I54" s="28" t="inlineStr">
        <is>
          <t>Deduplicate query keys; migrate to cache-bus.invalidateDomain.</t>
        </is>
      </c>
      <c r="J54" s="29" t="inlineStr">
        <is>
          <t>FIXED</t>
        </is>
      </c>
      <c r="K54" s="27" t="inlineStr">
        <is>
          <t>Duplicate query keys deduped (profiles ×6, events ×4, goals ×4) + domain-bus invalidation.</t>
        </is>
      </c>
    </row>
  </sheetData>
  <autoFilter ref="B2:I54"/>
  <conditionalFormatting sqref="F3:F54">
    <cfRule type="cellIs" rank="0" priority="2" equalAverage="0" operator="equal" aboveAverage="0" dxfId="15" text="" percent="0" bottom="0">
      <formula>"PASS"</formula>
    </cfRule>
    <cfRule type="cellIs" rank="0" priority="3" equalAverage="0" operator="equal" aboveAverage="0" dxfId="16" text="" percent="0" bottom="0">
      <formula>"AT RISK"</formula>
    </cfRule>
    <cfRule type="cellIs" rank="0" priority="4" equalAverage="0" operator="equal" aboveAverage="0" dxfId="17" text="" percent="0" bottom="0">
      <formula>"FAIL"</formula>
    </cfRule>
    <cfRule type="cellIs" rank="0" priority="5" equalAverage="0" operator="equal" aboveAverage="0" dxfId="18" text="" percent="0" bottom="0">
      <formula>"UNVERIFIED"</formula>
    </cfRule>
  </conditionalFormatting>
  <conditionalFormatting sqref="G3:G54">
    <cfRule type="cellIs" rank="0" priority="6" equalAverage="0" operator="equal" aboveAverage="0" dxfId="17" text="" percent="0" bottom="0">
      <formula>"P0"</formula>
    </cfRule>
    <cfRule type="cellIs" rank="0" priority="7" equalAverage="0" operator="equal" aboveAverage="0" dxfId="16" text="" percent="0" bottom="0">
      <formula>"P1"</formula>
    </cfRule>
    <cfRule type="cellIs" rank="0" priority="8" equalAverage="0" operator="equal" aboveAverage="0" dxfId="19" text="" percent="0" bottom="0">
      <formula>"P2"</formula>
    </cfRule>
    <cfRule type="cellIs" rank="0" priority="9" equalAverage="0" operator="equal" aboveAverage="0" dxfId="20" text="" percent="0" bottom="0">
      <formula>"P3"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" customWidth="1" style="12" min="1" max="1"/>
    <col width="16" customWidth="1" style="12" min="2" max="2"/>
    <col width="22" customWidth="1" style="12" min="3" max="3"/>
    <col width="40" customWidth="1" style="12" min="4" max="4"/>
    <col width="22" customWidth="1" style="12" min="5" max="5"/>
    <col width="12" customWidth="1" style="12" min="6" max="6"/>
    <col width="10" customWidth="1" style="12" min="7" max="7"/>
    <col width="42" customWidth="1" style="12" min="8" max="8"/>
    <col width="55" customWidth="1" style="12" min="9" max="9"/>
    <col width="16" customWidth="1" style="13" min="10" max="10"/>
    <col width="60" customWidth="1" style="13" min="11" max="11"/>
  </cols>
  <sheetData>
    <row r="1"/>
    <row r="2" ht="33.75" customHeight="1" s="13">
      <c r="A2" s="24" t="n"/>
      <c r="B2" s="24" t="inlineStr">
        <is>
          <t>Section</t>
        </is>
      </c>
      <c r="C2" s="24" t="inlineStr">
        <is>
          <t>Page / Module</t>
        </is>
      </c>
      <c r="D2" s="24" t="inlineStr">
        <is>
          <t>Action</t>
        </is>
      </c>
      <c r="E2" s="24" t="inlineStr">
        <is>
          <t>Target</t>
        </is>
      </c>
      <c r="F2" s="24" t="inlineStr">
        <is>
          <t>Verdict</t>
        </is>
      </c>
      <c r="G2" s="24" t="inlineStr">
        <is>
          <t>Severity</t>
        </is>
      </c>
      <c r="H2" s="24" t="inlineStr">
        <is>
          <t>Root cause (file:line)</t>
        </is>
      </c>
      <c r="I2" s="24" t="inlineStr">
        <is>
          <t>Fix recommendation</t>
        </is>
      </c>
      <c r="J2" s="23" t="inlineStr">
        <is>
          <t>Status 2026-07-21</t>
        </is>
      </c>
      <c r="K2" s="23" t="inlineStr">
        <is>
          <t>Resolution</t>
        </is>
      </c>
    </row>
    <row r="3" ht="42" customHeight="1" s="13">
      <c r="B3" s="25" t="inlineStr">
        <is>
          <t>Send ack</t>
        </is>
      </c>
      <c r="C3" s="25" t="inlineStr">
        <is>
          <t>Chat</t>
        </is>
      </c>
      <c r="D3" s="25" t="inlineStr">
        <is>
          <t>Send button → user bubble</t>
        </is>
      </c>
      <c r="E3" s="25" t="inlineStr">
        <is>
          <t>≤ 100 ms</t>
        </is>
      </c>
      <c r="F3" s="25" t="inlineStr">
        <is>
          <t>FAIL</t>
        </is>
      </c>
      <c r="G3" s="25" t="inlineStr">
        <is>
          <t>P1</t>
        </is>
      </c>
      <c r="H3" s="25" t="inlineStr">
        <is>
          <t>chat.tsx chatMutation is plain POST — no local push</t>
        </is>
      </c>
      <c r="I3" s="25" t="inlineStr">
        <is>
          <t>Push user message locally onMutate; only add assistant on server return.</t>
        </is>
      </c>
      <c r="J3" s="29" t="inlineStr">
        <is>
          <t>FIXED</t>
        </is>
      </c>
      <c r="K3" s="27" t="inlineStr">
        <is>
          <t>Optimistic push pre-mutate + failed/retry affordance.</t>
        </is>
      </c>
    </row>
    <row r="4" ht="42" customHeight="1" s="13">
      <c r="B4" s="28" t="inlineStr">
        <is>
          <t>Streaming</t>
        </is>
      </c>
      <c r="C4" s="28" t="inlineStr">
        <is>
          <t>Chat</t>
        </is>
      </c>
      <c r="D4" s="28" t="inlineStr">
        <is>
          <t>First assistant token</t>
        </is>
      </c>
      <c r="E4" s="28" t="inlineStr">
        <is>
          <t>≤ 800 ms</t>
        </is>
      </c>
      <c r="F4" s="28" t="inlineStr">
        <is>
          <t>FAIL</t>
        </is>
      </c>
      <c r="G4" s="28" t="inlineStr">
        <is>
          <t>P0</t>
        </is>
      </c>
      <c r="H4" s="28" t="inlineStr">
        <is>
          <t>chat.tsx line 1907 chatMutation waits full 170 s; no SSE anywhere</t>
        </is>
      </c>
      <c r="I4" s="28" t="inlineStr">
        <is>
          <t>Adopt SSE — Vercel supports edge streaming, but api/ai.js is Node runtime; use ReadableStream in the Node handler.</t>
        </is>
      </c>
      <c r="J4" s="29" t="inlineStr">
        <is>
          <t>FIXED</t>
        </is>
      </c>
      <c r="K4" s="27" t="inlineStr">
        <is>
          <t>SSE streaming with per-round assistant_delta frames; ack ships pre-AI-work. Confirm on first preview deploy.</t>
        </is>
      </c>
    </row>
    <row r="5" ht="42" customHeight="1" s="13">
      <c r="B5" s="25" t="inlineStr">
        <is>
          <t>Tool-card streaming</t>
        </is>
      </c>
      <c r="C5" s="25" t="inlineStr">
        <is>
          <t>Chat</t>
        </is>
      </c>
      <c r="D5" s="25" t="inlineStr">
        <is>
          <t>Extraction / tool card appears as tool completes</t>
        </is>
      </c>
      <c r="E5" s="25" t="inlineStr">
        <is>
          <t>Progressive</t>
        </is>
      </c>
      <c r="F5" s="25" t="inlineStr">
        <is>
          <t>FAIL</t>
        </is>
      </c>
      <c r="G5" s="25" t="inlineStr">
        <is>
          <t>P1</t>
        </is>
      </c>
      <c r="H5" s="25" t="inlineStr">
        <is>
          <t>chat.tsx renders all cards from `msg.toolResults` returned once at the end</t>
        </is>
      </c>
      <c r="I5" s="25" t="inlineStr">
        <is>
          <t>Server should emit `event: tool_start / tool_result` SSE frames; chat merges them into the live message.</t>
        </is>
      </c>
      <c r="J5" s="29" t="inlineStr">
        <is>
          <t>FIXED</t>
        </is>
      </c>
      <c r="K5" s="27" t="inlineStr">
        <is>
          <t>tool_start/tool_result frames merge into the live message; cards pixel-identical to final render.</t>
        </is>
      </c>
    </row>
    <row r="6" ht="42" customHeight="1" s="13">
      <c r="B6" s="28" t="inlineStr">
        <is>
          <t>Image attach</t>
        </is>
      </c>
      <c r="C6" s="28" t="inlineStr">
        <is>
          <t>Chat</t>
        </is>
      </c>
      <c r="D6" s="28" t="inlineStr">
        <is>
          <t>Pick photo → thumbnail preview</t>
        </is>
      </c>
      <c r="E6" s="28" t="inlineStr">
        <is>
          <t>≤ 300 ms</t>
        </is>
      </c>
      <c r="F6" s="28" t="inlineStr">
        <is>
          <t>AT RISK</t>
        </is>
      </c>
      <c r="G6" s="28" t="inlineStr">
        <is>
          <t>P2</t>
        </is>
      </c>
      <c r="H6" s="28" t="inlineStr">
        <is>
          <t>chat.tsx correctImageOrientation runs synchronous EXIF parse + canvas resize on main thread (line ~2280)</t>
        </is>
      </c>
      <c r="I6" s="28" t="inlineStr">
        <is>
          <t>Move to `createImageBitmap` + OffscreenCanvas in a Worker; keep the main thread free.</t>
        </is>
      </c>
      <c r="J6" s="29" t="inlineStr">
        <is>
          <t>FIXED</t>
        </is>
      </c>
      <c r="K6" s="27" t="inlineStr">
        <is>
          <t>createImageBitmap(imageOrientation:'from-image') off-thread decode + async convertToBlob; legacy path kept as fallback.</t>
        </is>
      </c>
    </row>
    <row r="7" ht="42" customHeight="1" s="13">
      <c r="B7" s="25" t="inlineStr">
        <is>
          <t>Batch attach</t>
        </is>
      </c>
      <c r="C7" s="25" t="inlineStr">
        <is>
          <t>Chat</t>
        </is>
      </c>
      <c r="D7" s="25" t="inlineStr">
        <is>
          <t>Attach 5 files → all thumbnails</t>
        </is>
      </c>
      <c r="E7" s="25" t="inlineStr">
        <is>
          <t>≤ 1.0 s</t>
        </is>
      </c>
      <c r="F7" s="25" t="inlineStr">
        <is>
          <t>AT RISK</t>
        </is>
      </c>
      <c r="G7" s="25" t="inlineStr">
        <is>
          <t>P2</t>
        </is>
      </c>
      <c r="H7" s="25" t="inlineStr">
        <is>
          <t>Batch attachments stored as base64 in React state (line ~1078) — huge string per attachment</t>
        </is>
      </c>
      <c r="I7" s="25" t="inlineStr">
        <is>
          <t>Store attachments as Blob refs in a ref (useRef), not React state; only re-render preview URL keys.</t>
        </is>
      </c>
      <c r="J7" s="29" t="inlineStr">
        <is>
          <t>FIXED</t>
        </is>
      </c>
      <c r="K7" s="27" t="inlineStr">
        <is>
          <t>Base64 moved to attachmentDataRef Map; state holds metadata + object-URL only.</t>
        </is>
      </c>
    </row>
    <row r="8" ht="42" customHeight="1" s="13">
      <c r="B8" s="28" t="inlineStr">
        <is>
          <t>Message list</t>
        </is>
      </c>
      <c r="C8" s="28" t="inlineStr">
        <is>
          <t>Chat</t>
        </is>
      </c>
      <c r="D8" s="28" t="inlineStr">
        <is>
          <t>Scroll 500-message thread at 60 fps</t>
        </is>
      </c>
      <c r="E8" s="28" t="inlineStr">
        <is>
          <t>No jank</t>
        </is>
      </c>
      <c r="F8" s="28" t="inlineStr">
        <is>
          <t>FAIL</t>
        </is>
      </c>
      <c r="G8" s="28" t="inlineStr">
        <is>
          <t>P2</t>
        </is>
      </c>
      <c r="H8" s="28" t="inlineStr">
        <is>
          <t>chat.tsx line 2765 renders messages.filter(...).map with no virtualization and no React.memo on message row</t>
        </is>
      </c>
      <c r="I8" s="28" t="inlineStr">
        <is>
          <t>Wrap message row in memo; introduce react-window (VariableSizeList) for threads &gt; 100 messages.</t>
        </is>
      </c>
      <c r="J8" s="26" t="inlineStr">
        <is>
          <t>PARTIAL</t>
        </is>
      </c>
      <c r="K8" s="27" t="inlineStr">
        <is>
          <t>MessageRow memoized (biggest win); virtualization skipped — react-window not a dependency and adding deps was out of scope.</t>
        </is>
      </c>
    </row>
    <row r="9" ht="42" customHeight="1" s="13">
      <c r="B9" s="25" t="inlineStr">
        <is>
          <t>Message rerender</t>
        </is>
      </c>
      <c r="C9" s="25" t="inlineStr">
        <is>
          <t>Chat</t>
        </is>
      </c>
      <c r="D9" s="25" t="inlineStr">
        <is>
          <t>Keystroke in composer</t>
        </is>
      </c>
      <c r="E9" s="25" t="inlineStr">
        <is>
          <t>No re-render of assistant messages</t>
        </is>
      </c>
      <c r="F9" s="25" t="inlineStr">
        <is>
          <t>FAIL</t>
        </is>
      </c>
      <c r="G9" s="25" t="inlineStr">
        <is>
          <t>P1</t>
        </is>
      </c>
      <c r="H9" s="25" t="inlineStr">
        <is>
          <t>Composer setInput is at same component level as messages.map — every keystroke rerenders all bubbles, images, tool cards</t>
        </is>
      </c>
      <c r="I9" s="25" t="inlineStr">
        <is>
          <t>Extract &lt;ChatComposer/&gt; child that owns `input` state; parent passes onSubmit callback only.</t>
        </is>
      </c>
      <c r="J9" s="29" t="inlineStr">
        <is>
          <t>FIXED</t>
        </is>
      </c>
      <c r="K9" s="27" t="inlineStr">
        <is>
          <t>ChatComposer owns draft state; parent rerenders only on empty⇄non-empty flips.</t>
        </is>
      </c>
    </row>
    <row r="10" ht="42" customHeight="1" s="13">
      <c r="B10" s="28" t="inlineStr">
        <is>
          <t>Search filter</t>
        </is>
      </c>
      <c r="C10" s="28" t="inlineStr">
        <is>
          <t>Chat</t>
        </is>
      </c>
      <c r="D10" s="28" t="inlineStr">
        <is>
          <t>Type in search bar</t>
        </is>
      </c>
      <c r="E10" s="28" t="inlineStr">
        <is>
          <t>≤ 100 ms result</t>
        </is>
      </c>
      <c r="F10" s="28" t="inlineStr">
        <is>
          <t>AT RISK</t>
        </is>
      </c>
      <c r="G10" s="28" t="inlineStr">
        <is>
          <t>P2</t>
        </is>
      </c>
      <c r="H10" s="28" t="inlineStr">
        <is>
          <t>chat.tsx line 2766 double .toLowerCase() per message per keystroke</t>
        </is>
      </c>
      <c r="I10" s="28" t="inlineStr">
        <is>
          <t>Precompute lower-case content in message construction; use useDeferredValue for query.</t>
        </is>
      </c>
      <c r="J10" s="29" t="inlineStr">
        <is>
          <t>FIXED</t>
        </is>
      </c>
      <c r="K10" s="27" t="inlineStr">
        <is>
          <t>useDeferredValue + single lowercase + memoized filteredMessages.</t>
        </is>
      </c>
    </row>
    <row r="11" ht="42" customHeight="1" s="13">
      <c r="B11" s="25" t="inlineStr">
        <is>
          <t>Auto-scroll</t>
        </is>
      </c>
      <c r="C11" s="25" t="inlineStr">
        <is>
          <t>Chat</t>
        </is>
      </c>
      <c r="D11" s="25" t="inlineStr">
        <is>
          <t>New message → scrolled into view</t>
        </is>
      </c>
      <c r="E11" s="25" t="inlineStr">
        <is>
          <t>≤ 200 ms, no fight with user scroll</t>
        </is>
      </c>
      <c r="F11" s="25" t="inlineStr">
        <is>
          <t>AT RISK</t>
        </is>
      </c>
      <c r="G11" s="25" t="inlineStr">
        <is>
          <t>P2</t>
        </is>
      </c>
      <c r="H11" s="25" t="inlineStr">
        <is>
          <t>chat.tsx line 2235 useEffect runs smooth-scroll on every mutation isPending flip AND messages change</t>
        </is>
      </c>
      <c r="I11" s="25" t="inlineStr">
        <is>
          <t>Only smooth-scroll when new message appended AND user is at bottom; use `behavior: 'instant'` when already at bottom to avoid animation cost.</t>
        </is>
      </c>
      <c r="J11" s="29" t="inlineStr">
        <is>
          <t>FIXED</t>
        </is>
      </c>
      <c r="K11" s="27" t="inlineStr">
        <is>
          <t>Near-bottom tracking; instant when at bottom; never yanks a scrolled-up reader.</t>
        </is>
      </c>
    </row>
    <row r="12" ht="42" customHeight="1" s="13">
      <c r="B12" s="28" t="inlineStr">
        <is>
          <t>Speech input</t>
        </is>
      </c>
      <c r="C12" s="28" t="inlineStr">
        <is>
          <t>Chat</t>
        </is>
      </c>
      <c r="D12" s="28" t="inlineStr">
        <is>
          <t>Tap mic → recording indicator</t>
        </is>
      </c>
      <c r="E12" s="28" t="inlineStr">
        <is>
          <t>≤ 100 ms</t>
        </is>
      </c>
      <c r="F12" s="28" t="inlineStr">
        <is>
          <t>PASS</t>
        </is>
      </c>
      <c r="G12" s="28" t="inlineStr">
        <is>
          <t>—</t>
        </is>
      </c>
      <c r="H12" s="28" t="inlineStr">
        <is>
          <t>useSpeechInput hook</t>
        </is>
      </c>
      <c r="I12" s="28" t="inlineStr">
        <is>
          <t>No change.</t>
        </is>
      </c>
      <c r="J12" s="23" t="inlineStr">
        <is>
          <t>—</t>
        </is>
      </c>
      <c r="K12" s="27" t="inlineStr">
        <is>
          <t>Already passing (hook moved into ChatComposer unchanged).</t>
        </is>
      </c>
    </row>
    <row r="13" ht="42" customHeight="1" s="13">
      <c r="B13" s="25" t="inlineStr">
        <is>
          <t>Report render</t>
        </is>
      </c>
      <c r="C13" s="25" t="inlineStr">
        <is>
          <t>Chat</t>
        </is>
      </c>
      <c r="D13" s="25" t="inlineStr">
        <is>
          <t>ChatReport artifact opens</t>
        </is>
      </c>
      <c r="E13" s="25" t="inlineStr">
        <is>
          <t>≤ 500 ms</t>
        </is>
      </c>
      <c r="F13" s="25" t="inlineStr">
        <is>
          <t>AT RISK</t>
        </is>
      </c>
      <c r="G13" s="25" t="inlineStr">
        <is>
          <t>P2</t>
        </is>
      </c>
      <c r="H13" s="25" t="inlineStr">
        <is>
          <t>ChatReport sub-component in chat.tsx (~20 sub-components, none memoized)</t>
        </is>
      </c>
      <c r="I13" s="25" t="inlineStr">
        <is>
          <t>React.memo + code-split ChatReport.</t>
        </is>
      </c>
      <c r="J13" s="26" t="inlineStr">
        <is>
          <t>PARTIAL</t>
        </is>
      </c>
      <c r="K13" s="27" t="inlineStr">
        <is>
          <t>Benefits from MessageRow memo; individual sub-card code-split deferred.</t>
        </is>
      </c>
    </row>
    <row r="14" ht="42" customHeight="1" s="13">
      <c r="B14" s="28" t="inlineStr">
        <is>
          <t>Chart render</t>
        </is>
      </c>
      <c r="C14" s="28" t="inlineStr">
        <is>
          <t>Chat</t>
        </is>
      </c>
      <c r="D14" s="28" t="inlineStr">
        <is>
          <t>ChatChart draws</t>
        </is>
      </c>
      <c r="E14" s="28" t="inlineStr">
        <is>
          <t>≤ 500 ms</t>
        </is>
      </c>
      <c r="F14" s="28" t="inlineStr">
        <is>
          <t>AT RISK</t>
        </is>
      </c>
      <c r="G14" s="28" t="inlineStr">
        <is>
          <t>P2</t>
        </is>
      </c>
      <c r="H14" s="28" t="inlineStr">
        <is>
          <t>Same as above</t>
        </is>
      </c>
      <c r="I14" s="28" t="inlineStr">
        <is>
          <t>React.memo ChatChart; if Recharts, use `&lt;ResponsiveContainer debounce={200}&gt;`.</t>
        </is>
      </c>
      <c r="J14" s="26" t="inlineStr">
        <is>
          <t>PARTIAL</t>
        </is>
      </c>
      <c r="K14" s="27" t="inlineStr">
        <is>
          <t>Same as ChatReport.</t>
        </is>
      </c>
    </row>
    <row r="15" ht="42" customHeight="1" s="13">
      <c r="B15" s="25" t="inlineStr">
        <is>
          <t>Table render</t>
        </is>
      </c>
      <c r="C15" s="25" t="inlineStr">
        <is>
          <t>Chat</t>
        </is>
      </c>
      <c r="D15" s="25" t="inlineStr">
        <is>
          <t>ChatTable paints</t>
        </is>
      </c>
      <c r="E15" s="25" t="inlineStr">
        <is>
          <t>≤ 500 ms</t>
        </is>
      </c>
      <c r="F15" s="25" t="inlineStr">
        <is>
          <t>PASS</t>
        </is>
      </c>
      <c r="G15" s="25" t="inlineStr">
        <is>
          <t>—</t>
        </is>
      </c>
      <c r="H15" s="25" t="inlineStr">
        <is>
          <t>ChatTable uses plain markdown table for reasonable row counts</t>
        </is>
      </c>
      <c r="I15" s="25" t="inlineStr">
        <is>
          <t>No change until row counts &gt; 200.</t>
        </is>
      </c>
      <c r="J15" s="23" t="inlineStr">
        <is>
          <t>—</t>
        </is>
      </c>
      <c r="K15" s="27" t="inlineStr">
        <is>
          <t>Already passing.</t>
        </is>
      </c>
    </row>
    <row r="16" ht="42" customHeight="1" s="13">
      <c r="B16" s="28" t="inlineStr">
        <is>
          <t>Confirm card</t>
        </is>
      </c>
      <c r="C16" s="28" t="inlineStr">
        <is>
          <t>Chat</t>
        </is>
      </c>
      <c r="D16" s="28" t="inlineStr">
        <is>
          <t>ExtractionConfirmation card responds</t>
        </is>
      </c>
      <c r="E16" s="28" t="inlineStr">
        <is>
          <t>≤ 100 ms tap-to-feedback</t>
        </is>
      </c>
      <c r="F16" s="28" t="inlineStr">
        <is>
          <t>AT RISK</t>
        </is>
      </c>
      <c r="G16" s="28" t="inlineStr">
        <is>
          <t>P2</t>
        </is>
      </c>
      <c r="H16" s="28" t="inlineStr">
        <is>
          <t>chat.tsx handleSkipExtraction runs setMessages with map (line 2224) — O(n) but fine unless thread is huge</t>
        </is>
      </c>
      <c r="I16" s="28" t="inlineStr">
        <is>
          <t>Fine at current scale; virtualize + memo will fix it structurally.</t>
        </is>
      </c>
      <c r="J16" s="29" t="inlineStr">
        <is>
          <t>FIXED</t>
        </is>
      </c>
      <c r="K16" s="27" t="inlineStr">
        <is>
          <t>Structural fix landed via memoized rows + stable callbacks.</t>
        </is>
      </c>
    </row>
    <row r="17" ht="42" customHeight="1" s="13">
      <c r="B17" s="25" t="inlineStr">
        <is>
          <t>Slow hint</t>
        </is>
      </c>
      <c r="C17" s="25" t="inlineStr">
        <is>
          <t>Chat</t>
        </is>
      </c>
      <c r="D17" s="25" t="inlineStr">
        <is>
          <t>SlowResponseHint shows on long waits</t>
        </is>
      </c>
      <c r="E17" s="25" t="inlineStr">
        <is>
          <t>After 5-8 s</t>
        </is>
      </c>
      <c r="F17" s="25" t="inlineStr">
        <is>
          <t>PASS</t>
        </is>
      </c>
      <c r="G17" s="25" t="inlineStr">
        <is>
          <t>—</t>
        </is>
      </c>
      <c r="H17" s="25" t="inlineStr">
        <is>
          <t>SlowResponseHint sub-component</t>
        </is>
      </c>
      <c r="I17" s="25" t="inlineStr">
        <is>
          <t>No change.</t>
        </is>
      </c>
      <c r="J17" s="23" t="inlineStr">
        <is>
          <t>—</t>
        </is>
      </c>
      <c r="K17" s="27" t="inlineStr">
        <is>
          <t>Already passing.</t>
        </is>
      </c>
    </row>
    <row r="18" ht="42" customHeight="1" s="13">
      <c r="B18" s="28" t="inlineStr">
        <is>
          <t>Retry</t>
        </is>
      </c>
      <c r="C18" s="28" t="inlineStr">
        <is>
          <t>Chat</t>
        </is>
      </c>
      <c r="D18" s="28" t="inlineStr">
        <is>
          <t>Failed send → retry button</t>
        </is>
      </c>
      <c r="E18" s="28" t="inlineStr">
        <is>
          <t>One-tap retry</t>
        </is>
      </c>
      <c r="F18" s="28" t="inlineStr">
        <is>
          <t>UNVERIFIED</t>
        </is>
      </c>
      <c r="G18" s="28" t="inlineStr">
        <is>
          <t>—</t>
        </is>
      </c>
      <c r="H18" s="28" t="inlineStr">
        <is>
          <t>Not clearly located in the page inspection</t>
        </is>
      </c>
      <c r="I18" s="28" t="inlineStr">
        <is>
          <t>Verify chatMutation.onError shows a toast with a retry action.</t>
        </is>
      </c>
      <c r="J18" s="29" t="inlineStr">
        <is>
          <t>FIXED</t>
        </is>
      </c>
      <c r="K18" s="27" t="inlineStr">
        <is>
          <t>Implemented: failed bubble shows Not sent · Retry; retry excludes the message from history to avoid duplicate context.</t>
        </is>
      </c>
    </row>
  </sheetData>
  <autoFilter ref="B2:I18"/>
  <conditionalFormatting sqref="F3:F18">
    <cfRule type="cellIs" rank="0" priority="2" equalAverage="0" operator="equal" aboveAverage="0" dxfId="15" text="" percent="0" bottom="0">
      <formula>"PASS"</formula>
    </cfRule>
    <cfRule type="cellIs" rank="0" priority="3" equalAverage="0" operator="equal" aboveAverage="0" dxfId="16" text="" percent="0" bottom="0">
      <formula>"AT RISK"</formula>
    </cfRule>
    <cfRule type="cellIs" rank="0" priority="4" equalAverage="0" operator="equal" aboveAverage="0" dxfId="17" text="" percent="0" bottom="0">
      <formula>"FAIL"</formula>
    </cfRule>
    <cfRule type="cellIs" rank="0" priority="5" equalAverage="0" operator="equal" aboveAverage="0" dxfId="18" text="" percent="0" bottom="0">
      <formula>"UNVERIFIED"</formula>
    </cfRule>
  </conditionalFormatting>
  <conditionalFormatting sqref="G3:G18">
    <cfRule type="cellIs" rank="0" priority="6" equalAverage="0" operator="equal" aboveAverage="0" dxfId="17" text="" percent="0" bottom="0">
      <formula>"P0"</formula>
    </cfRule>
    <cfRule type="cellIs" rank="0" priority="7" equalAverage="0" operator="equal" aboveAverage="0" dxfId="16" text="" percent="0" bottom="0">
      <formula>"P1"</formula>
    </cfRule>
    <cfRule type="cellIs" rank="0" priority="8" equalAverage="0" operator="equal" aboveAverage="0" dxfId="19" text="" percent="0" bottom="0">
      <formula>"P2"</formula>
    </cfRule>
    <cfRule type="cellIs" rank="0" priority="9" equalAverage="0" operator="equal" aboveAverage="0" dxfId="20" text="" percent="0" bottom="0">
      <formula>"P3"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" customWidth="1" style="12" min="1" max="1"/>
    <col width="16" customWidth="1" style="12" min="2" max="2"/>
    <col width="22" customWidth="1" style="12" min="3" max="3"/>
    <col width="40" customWidth="1" style="12" min="4" max="4"/>
    <col width="22" customWidth="1" style="12" min="5" max="5"/>
    <col width="12" customWidth="1" style="12" min="6" max="6"/>
    <col width="10" customWidth="1" style="12" min="7" max="7"/>
    <col width="42" customWidth="1" style="12" min="8" max="8"/>
    <col width="55" customWidth="1" style="12" min="9" max="9"/>
    <col width="16" customWidth="1" style="13" min="10" max="10"/>
    <col width="60" customWidth="1" style="13" min="11" max="11"/>
  </cols>
  <sheetData>
    <row r="1"/>
    <row r="2" ht="33.75" customHeight="1" s="13">
      <c r="A2" s="24" t="n"/>
      <c r="B2" s="24" t="inlineStr">
        <is>
          <t>Section</t>
        </is>
      </c>
      <c r="C2" s="24" t="inlineStr">
        <is>
          <t>Page / Module</t>
        </is>
      </c>
      <c r="D2" s="24" t="inlineStr">
        <is>
          <t>Action</t>
        </is>
      </c>
      <c r="E2" s="24" t="inlineStr">
        <is>
          <t>Target</t>
        </is>
      </c>
      <c r="F2" s="24" t="inlineStr">
        <is>
          <t>Verdict</t>
        </is>
      </c>
      <c r="G2" s="24" t="inlineStr">
        <is>
          <t>Severity</t>
        </is>
      </c>
      <c r="H2" s="24" t="inlineStr">
        <is>
          <t>Root cause (file:line)</t>
        </is>
      </c>
      <c r="I2" s="24" t="inlineStr">
        <is>
          <t>Fix recommendation</t>
        </is>
      </c>
      <c r="J2" s="23" t="inlineStr">
        <is>
          <t>Status 2026-07-21</t>
        </is>
      </c>
      <c r="K2" s="23" t="inlineStr">
        <is>
          <t>Resolution</t>
        </is>
      </c>
    </row>
    <row r="3" ht="42" customHeight="1" s="13">
      <c r="B3" s="25" t="inlineStr">
        <is>
          <t>Bottom nav</t>
        </is>
      </c>
      <c r="C3" s="25" t="inlineStr">
        <is>
          <t>All routes</t>
        </is>
      </c>
      <c r="D3" s="25" t="inlineStr">
        <is>
          <t>Tab tap → destination painted</t>
        </is>
      </c>
      <c r="E3" s="25" t="inlineStr">
        <is>
          <t>≤ 100 ms</t>
        </is>
      </c>
      <c r="F3" s="25" t="inlineStr">
        <is>
          <t>AT RISK</t>
        </is>
      </c>
      <c r="G3" s="25" t="inlineStr">
        <is>
          <t>P2</t>
        </is>
      </c>
      <c r="H3" s="25" t="inlineStr">
        <is>
          <t>components/BottomNav — lazy routes preloaded on idle by RoutePreloader, but destination re-runs 30+ useQuery</t>
        </is>
      </c>
      <c r="I3" s="25" t="inlineStr">
        <is>
          <t>Prefetch destination query keys on touchstart of the tab.</t>
        </is>
      </c>
      <c r="J3" s="29" t="inlineStr">
        <is>
          <t>FIXED</t>
        </is>
      </c>
      <c r="K3" s="27" t="inlineStr">
        <is>
          <t>pointerdown/touchstart prefetch per tab (bootstrap/events/artifacts/profiles).</t>
        </is>
      </c>
    </row>
    <row r="4" ht="42" customHeight="1" s="13">
      <c r="B4" s="28" t="inlineStr">
        <is>
          <t>Header nav</t>
        </is>
      </c>
      <c r="C4" s="28" t="inlineStr">
        <is>
          <t>All routes</t>
        </is>
      </c>
      <c r="D4" s="28" t="inlineStr">
        <is>
          <t>Back → previous scroll position restored</t>
        </is>
      </c>
      <c r="E4" s="28" t="inlineStr">
        <is>
          <t>Scroll position within 1 row</t>
        </is>
      </c>
      <c r="F4" s="28" t="inlineStr">
        <is>
          <t>UNVERIFIED</t>
        </is>
      </c>
      <c r="G4" s="28" t="inlineStr">
        <is>
          <t>—</t>
        </is>
      </c>
      <c r="H4" s="28" t="inlineStr">
        <is>
          <t>wouter doesn't manage scroll restoration by default</t>
        </is>
      </c>
      <c r="I4" s="28" t="inlineStr">
        <is>
          <t>Add manual scroll restoration on route change (save on unmount, restore on mount).</t>
        </is>
      </c>
      <c r="J4" s="30" t="inlineStr">
        <is>
          <t>DEFERRED</t>
        </is>
      </c>
      <c r="K4" s="27" t="inlineStr">
        <is>
          <t>wouter has no scroll restoration; adding it needs live UX validation — follow-up.</t>
        </is>
      </c>
    </row>
    <row r="5" ht="42" customHeight="1" s="13">
      <c r="B5" s="25" t="inlineStr">
        <is>
          <t>Deep-link</t>
        </is>
      </c>
      <c r="C5" s="25" t="inlineStr">
        <is>
          <t>All routes</t>
        </is>
      </c>
      <c r="D5" s="25" t="inlineStr">
        <is>
          <t>URL to sub-route hydrates directly</t>
        </is>
      </c>
      <c r="E5" s="25" t="inlineStr">
        <is>
          <t>No blank flash</t>
        </is>
      </c>
      <c r="F5" s="25" t="inlineStr">
        <is>
          <t>PASS</t>
        </is>
      </c>
      <c r="G5" s="25" t="inlineStr">
        <is>
          <t>—</t>
        </is>
      </c>
      <c r="H5" s="25" t="inlineStr">
        <is>
          <t>Suspense fallback + hash routing</t>
        </is>
      </c>
      <c r="I5" s="25" t="inlineStr">
        <is>
          <t>No change.</t>
        </is>
      </c>
      <c r="J5" s="23" t="inlineStr">
        <is>
          <t>—</t>
        </is>
      </c>
      <c r="K5" s="27" t="inlineStr">
        <is>
          <t>Already passing.</t>
        </is>
      </c>
    </row>
    <row r="6" ht="42" customHeight="1" s="13">
      <c r="B6" s="28" t="inlineStr">
        <is>
          <t>PullToRefresh</t>
        </is>
      </c>
      <c r="C6" s="28" t="inlineStr">
        <is>
          <t>Dashboard/Trackers</t>
        </is>
      </c>
      <c r="D6" s="28" t="inlineStr">
        <is>
          <t>Pull → refresh spinner → refetch</t>
        </is>
      </c>
      <c r="E6" s="28" t="inlineStr">
        <is>
          <t>Refetch &lt; 800 ms</t>
        </is>
      </c>
      <c r="F6" s="28" t="inlineStr">
        <is>
          <t>FAIL</t>
        </is>
      </c>
      <c r="G6" s="28" t="inlineStr">
        <is>
          <t>P2</t>
        </is>
      </c>
      <c r="H6" s="28" t="inlineStr">
        <is>
          <t>client/src/App.tsx PullToRefresh (~line 340) calls queryClient.invalidateQueries() with NO filter — nuclear refetch of every cached query</t>
        </is>
      </c>
      <c r="I6" s="28" t="inlineStr">
        <is>
          <t>Scope to visible route's domains: invalidateDomain('dashboard'|'trackers'|...) based on location.</t>
        </is>
      </c>
      <c r="J6" s="29" t="inlineStr">
        <is>
          <t>FIXED</t>
        </is>
      </c>
      <c r="K6" s="27" t="inlineStr">
        <is>
          <t>Route-scoped domain invalidation via pullRefreshDomains(location); bounded fallback for unmapped routes.</t>
        </is>
      </c>
    </row>
    <row r="7" ht="42" customHeight="1" s="13">
      <c r="B7" s="25" t="inlineStr">
        <is>
          <t>Route preload</t>
        </is>
      </c>
      <c r="C7" s="25" t="inlineStr">
        <is>
          <t>All routes</t>
        </is>
      </c>
      <c r="D7" s="25" t="inlineStr">
        <is>
          <t>Lazy route preloaded before user taps</t>
        </is>
      </c>
      <c r="E7" s="25" t="inlineStr">
        <is>
          <t>Instant navigation</t>
        </is>
      </c>
      <c r="F7" s="25" t="inlineStr">
        <is>
          <t>PASS</t>
        </is>
      </c>
      <c r="G7" s="25" t="inlineStr">
        <is>
          <t>—</t>
        </is>
      </c>
      <c r="H7" s="25" t="inlineStr">
        <is>
          <t>App.tsx RoutePreloader inside requestIdleCallback after auth</t>
        </is>
      </c>
      <c r="I7" s="25" t="inlineStr">
        <is>
          <t>No change.</t>
        </is>
      </c>
      <c r="J7" s="23" t="inlineStr">
        <is>
          <t>—</t>
        </is>
      </c>
      <c r="K7" s="27" t="inlineStr">
        <is>
          <t>Already passing.</t>
        </is>
      </c>
    </row>
    <row r="8" ht="42" customHeight="1" s="13">
      <c r="B8" s="28" t="inlineStr">
        <is>
          <t>Command palette</t>
        </is>
      </c>
      <c r="C8" s="28" t="inlineStr">
        <is>
          <t>⌘K search</t>
        </is>
      </c>
      <c r="D8" s="28" t="inlineStr">
        <is>
          <t>Open palette → focus input</t>
        </is>
      </c>
      <c r="E8" s="28" t="inlineStr">
        <is>
          <t>≤ 100 ms</t>
        </is>
      </c>
      <c r="F8" s="28" t="inlineStr">
        <is>
          <t>PASS</t>
        </is>
      </c>
      <c r="G8" s="28" t="inlineStr">
        <is>
          <t>—</t>
        </is>
      </c>
      <c r="H8" s="28" t="inlineStr">
        <is>
          <t>components/CommandSearch.tsx + lib/search-index.ts (client-side narrowing of cached server results — well-designed)</t>
        </is>
      </c>
      <c r="I8" s="28" t="inlineStr">
        <is>
          <t>No change — this is genuinely well-engineered.</t>
        </is>
      </c>
      <c r="J8" s="23" t="inlineStr">
        <is>
          <t>—</t>
        </is>
      </c>
      <c r="K8" s="27" t="inlineStr">
        <is>
          <t>Already passing.</t>
        </is>
      </c>
    </row>
    <row r="9" ht="42" customHeight="1" s="13">
      <c r="B9" s="25" t="inlineStr">
        <is>
          <t>Command palette</t>
        </is>
      </c>
      <c r="C9" s="25" t="inlineStr">
        <is>
          <t>⌘K search</t>
        </is>
      </c>
      <c r="D9" s="25" t="inlineStr">
        <is>
          <t>Type → results narrow</t>
        </is>
      </c>
      <c r="E9" s="25" t="inlineStr">
        <is>
          <t>≤ 50 ms per keystroke</t>
        </is>
      </c>
      <c r="F9" s="25" t="inlineStr">
        <is>
          <t>PASS</t>
        </is>
      </c>
      <c r="G9" s="25" t="inlineStr">
        <is>
          <t>—</t>
        </is>
      </c>
      <c r="H9" s="25" t="inlineStr">
        <is>
          <t>lib/search-index.ts itemMatches uses precomputed lowercase superset</t>
        </is>
      </c>
      <c r="I9" s="25" t="inlineStr">
        <is>
          <t>No change.</t>
        </is>
      </c>
      <c r="J9" s="23" t="inlineStr">
        <is>
          <t>—</t>
        </is>
      </c>
      <c r="K9" s="27" t="inlineStr">
        <is>
          <t>Already passing.</t>
        </is>
      </c>
    </row>
    <row r="10" ht="42" customHeight="1" s="13">
      <c r="B10" s="28" t="inlineStr">
        <is>
          <t>Modal navigation</t>
        </is>
      </c>
      <c r="C10" s="28" t="inlineStr">
        <is>
          <t>Nested modal</t>
        </is>
      </c>
      <c r="D10" s="28" t="inlineStr">
        <is>
          <t>Close modal → return to origin scroll</t>
        </is>
      </c>
      <c r="E10" s="28" t="inlineStr">
        <is>
          <t>No jump</t>
        </is>
      </c>
      <c r="F10" s="28" t="inlineStr">
        <is>
          <t>UNVERIFIED</t>
        </is>
      </c>
      <c r="G10" s="28" t="inlineStr">
        <is>
          <t>—</t>
        </is>
      </c>
      <c r="H10" s="28" t="inlineStr">
        <is>
          <t>Radix Dialog default</t>
        </is>
      </c>
      <c r="I10" s="28" t="inlineStr">
        <is>
          <t>Verify body-scroll-lock doesn't cause visual jump on iOS.</t>
        </is>
      </c>
      <c r="J10" s="30" t="inlineStr">
        <is>
          <t>DEFERRED</t>
        </is>
      </c>
      <c r="K10" s="27" t="inlineStr">
        <is>
          <t>Needs iOS device verification.</t>
        </is>
      </c>
    </row>
    <row r="11" ht="42" customHeight="1" s="13">
      <c r="B11" s="25" t="inlineStr">
        <is>
          <t>Route error</t>
        </is>
      </c>
      <c r="C11" s="25" t="inlineStr">
        <is>
          <t>Broken route</t>
        </is>
      </c>
      <c r="D11" s="25" t="inlineStr">
        <is>
          <t>Route throw → not-found or error page</t>
        </is>
      </c>
      <c r="E11" s="25" t="inlineStr">
        <is>
          <t>No white screen</t>
        </is>
      </c>
      <c r="F11" s="25" t="inlineStr">
        <is>
          <t>PASS</t>
        </is>
      </c>
      <c r="G11" s="25" t="inlineStr">
        <is>
          <t>—</t>
        </is>
      </c>
      <c r="H11" s="25" t="inlineStr">
        <is>
          <t>not-found.tsx + App.tsx Suspense fallback</t>
        </is>
      </c>
      <c r="I11" s="25" t="inlineStr">
        <is>
          <t>No change.</t>
        </is>
      </c>
      <c r="J11" s="23" t="inlineStr">
        <is>
          <t>—</t>
        </is>
      </c>
      <c r="K11" s="27" t="inlineStr">
        <is>
          <t>Already passing.</t>
        </is>
      </c>
    </row>
  </sheetData>
  <autoFilter ref="B2:I11"/>
  <conditionalFormatting sqref="F3:F11">
    <cfRule type="cellIs" rank="0" priority="2" equalAverage="0" operator="equal" aboveAverage="0" dxfId="15" text="" percent="0" bottom="0">
      <formula>"PASS"</formula>
    </cfRule>
    <cfRule type="cellIs" rank="0" priority="3" equalAverage="0" operator="equal" aboveAverage="0" dxfId="16" text="" percent="0" bottom="0">
      <formula>"AT RISK"</formula>
    </cfRule>
    <cfRule type="cellIs" rank="0" priority="4" equalAverage="0" operator="equal" aboveAverage="0" dxfId="17" text="" percent="0" bottom="0">
      <formula>"FAIL"</formula>
    </cfRule>
    <cfRule type="cellIs" rank="0" priority="5" equalAverage="0" operator="equal" aboveAverage="0" dxfId="18" text="" percent="0" bottom="0">
      <formula>"UNVERIFIED"</formula>
    </cfRule>
  </conditionalFormatting>
  <conditionalFormatting sqref="G3:G11">
    <cfRule type="cellIs" rank="0" priority="6" equalAverage="0" operator="equal" aboveAverage="0" dxfId="17" text="" percent="0" bottom="0">
      <formula>"P0"</formula>
    </cfRule>
    <cfRule type="cellIs" rank="0" priority="7" equalAverage="0" operator="equal" aboveAverage="0" dxfId="16" text="" percent="0" bottom="0">
      <formula>"P1"</formula>
    </cfRule>
    <cfRule type="cellIs" rank="0" priority="8" equalAverage="0" operator="equal" aboveAverage="0" dxfId="19" text="" percent="0" bottom="0">
      <formula>"P2"</formula>
    </cfRule>
    <cfRule type="cellIs" rank="0" priority="9" equalAverage="0" operator="equal" aboveAverage="0" dxfId="20" text="" percent="0" bottom="0">
      <formula>"P3"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K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" customWidth="1" style="12" min="1" max="1"/>
    <col width="16" customWidth="1" style="12" min="2" max="2"/>
    <col width="22" customWidth="1" style="12" min="3" max="3"/>
    <col width="40" customWidth="1" style="12" min="4" max="4"/>
    <col width="22" customWidth="1" style="12" min="5" max="5"/>
    <col width="12" customWidth="1" style="12" min="6" max="6"/>
    <col width="10" customWidth="1" style="12" min="7" max="7"/>
    <col width="42" customWidth="1" style="12" min="8" max="8"/>
    <col width="55" customWidth="1" style="12" min="9" max="9"/>
    <col width="16" customWidth="1" style="13" min="10" max="10"/>
    <col width="60" customWidth="1" style="13" min="11" max="11"/>
  </cols>
  <sheetData>
    <row r="1"/>
    <row r="2" ht="33.75" customHeight="1" s="13">
      <c r="A2" s="24" t="n"/>
      <c r="B2" s="24" t="inlineStr">
        <is>
          <t>Section</t>
        </is>
      </c>
      <c r="C2" s="24" t="inlineStr">
        <is>
          <t>Page / Module</t>
        </is>
      </c>
      <c r="D2" s="24" t="inlineStr">
        <is>
          <t>Action</t>
        </is>
      </c>
      <c r="E2" s="24" t="inlineStr">
        <is>
          <t>Target</t>
        </is>
      </c>
      <c r="F2" s="24" t="inlineStr">
        <is>
          <t>Verdict</t>
        </is>
      </c>
      <c r="G2" s="24" t="inlineStr">
        <is>
          <t>Severity</t>
        </is>
      </c>
      <c r="H2" s="24" t="inlineStr">
        <is>
          <t>Root cause (file:line)</t>
        </is>
      </c>
      <c r="I2" s="24" t="inlineStr">
        <is>
          <t>Fix recommendation</t>
        </is>
      </c>
      <c r="J2" s="23" t="inlineStr">
        <is>
          <t>Status 2026-07-21</t>
        </is>
      </c>
      <c r="K2" s="23" t="inlineStr">
        <is>
          <t>Resolution</t>
        </is>
      </c>
    </row>
    <row r="3" ht="42" customHeight="1" s="13">
      <c r="B3" s="25" t="inlineStr">
        <is>
          <t>Task done</t>
        </is>
      </c>
      <c r="C3" s="25" t="inlineStr">
        <is>
          <t>Dashboard</t>
        </is>
      </c>
      <c r="D3" s="25" t="inlineStr">
        <is>
          <t>Complete task on dashboard → checkmark, badge count decrements</t>
        </is>
      </c>
      <c r="E3" s="25" t="inlineStr">
        <is>
          <t>≤ 200 ms</t>
        </is>
      </c>
      <c r="F3" s="25" t="inlineStr">
        <is>
          <t>AT RISK</t>
        </is>
      </c>
      <c r="G3" s="25" t="inlineStr">
        <is>
          <t>P1</t>
        </is>
      </c>
      <c r="H3" s="25" t="inlineStr">
        <is>
          <t>dashboard.tsx toggleTaskMutation invalidates /api/stats, /api/dashboard-enhanced, /api/tasks — 3 network round-trips</t>
        </is>
      </c>
      <c r="I3" s="25" t="inlineStr">
        <is>
          <t>Optimistic-update dashboard-enhanced payload locally; single follow-up refresh via cache-bus.</t>
        </is>
      </c>
      <c r="J3" s="29" t="inlineStr">
        <is>
          <t>FIXED</t>
        </is>
      </c>
      <c r="K3" s="27" t="inlineStr">
        <is>
          <t>Optimistic checkmark + badge decrement + single invalidateDomain('tasks').</t>
        </is>
      </c>
    </row>
    <row r="4" ht="42" customHeight="1" s="13">
      <c r="B4" s="28" t="inlineStr">
        <is>
          <t>Bill paid</t>
        </is>
      </c>
      <c r="C4" s="28" t="inlineStr">
        <is>
          <t>Dashboard</t>
        </is>
      </c>
      <c r="D4" s="28" t="inlineStr">
        <is>
          <t>Mark bill paid → total remaining updates, calendar row moves</t>
        </is>
      </c>
      <c r="E4" s="28" t="inlineStr">
        <is>
          <t>≤ 300 ms</t>
        </is>
      </c>
      <c r="F4" s="28" t="inlineStr">
        <is>
          <t>AT RISK</t>
        </is>
      </c>
      <c r="G4" s="28" t="inlineStr">
        <is>
          <t>P1</t>
        </is>
      </c>
      <c r="H4" s="28" t="inlineStr">
        <is>
          <t>dashboard.tsx markBillPaidMutation invalidates 4 keys (/api/obligations, /api/dashboard-enhanced, /api/stats, /api/cashflow) sequentially</t>
        </is>
      </c>
      <c r="I4" s="28" t="inlineStr">
        <is>
          <t>Optimistic update + single cache-bus invalidateDomain('finance').</t>
        </is>
      </c>
      <c r="J4" s="29" t="inlineStr">
        <is>
          <t>FIXED</t>
        </is>
      </c>
      <c r="K4" s="27" t="inlineStr">
        <is>
          <t>Optimistic removal from upcomingBills + invalidateDomain('obligations').</t>
        </is>
      </c>
    </row>
    <row r="5" ht="42" customHeight="1" s="13">
      <c r="B5" s="25" t="inlineStr">
        <is>
          <t>Habit checkin</t>
        </is>
      </c>
      <c r="C5" s="25" t="inlineStr">
        <is>
          <t>Dashboard</t>
        </is>
      </c>
      <c r="D5" s="25" t="inlineStr">
        <is>
          <t>Tick habit → streak count increments</t>
        </is>
      </c>
      <c r="E5" s="25" t="inlineStr">
        <is>
          <t>≤ 200 ms</t>
        </is>
      </c>
      <c r="F5" s="25" t="inlineStr">
        <is>
          <t>AT RISK</t>
        </is>
      </c>
      <c r="G5" s="25" t="inlineStr">
        <is>
          <t>P1</t>
        </is>
      </c>
      <c r="H5" s="25" t="inlineStr">
        <is>
          <t>components/dashboard/TaskHabitPopups.tsx habit toggle</t>
        </is>
      </c>
      <c r="I5" s="25" t="inlineStr">
        <is>
          <t>Optimistic streak update; server confirms.</t>
        </is>
      </c>
      <c r="J5" s="29" t="inlineStr">
        <is>
          <t>FIXED</t>
        </is>
      </c>
      <c r="K5" s="27" t="inlineStr">
        <is>
          <t>Optimistic streak bump/decrement with double-tap guard.</t>
        </is>
      </c>
    </row>
    <row r="6" ht="42" customHeight="1" s="13">
      <c r="B6" s="28" t="inlineStr">
        <is>
          <t>Expense add</t>
        </is>
      </c>
      <c r="C6" s="28" t="inlineStr">
        <is>
          <t>Finance</t>
        </is>
      </c>
      <c r="D6" s="28" t="inlineStr">
        <is>
          <t>Add expense → dashboard total updates</t>
        </is>
      </c>
      <c r="E6" s="28" t="inlineStr">
        <is>
          <t>≤ 500 ms</t>
        </is>
      </c>
      <c r="F6" s="28" t="inlineStr">
        <is>
          <t>FAIL</t>
        </is>
      </c>
      <c r="G6" s="28" t="inlineStr">
        <is>
          <t>P1</t>
        </is>
      </c>
      <c r="H6" s="28" t="inlineStr">
        <is>
          <t>finance.tsx addExpenseMutation invalidates 4 keys; dashboard doesn't share the same cached derivation</t>
        </is>
      </c>
      <c r="I6" s="28" t="inlineStr">
        <is>
          <t>Move /api/stats derivation server-side into one endpoint; cache-bus invalidate.</t>
        </is>
      </c>
      <c r="J6" s="29" t="inlineStr">
        <is>
          <t>FIXED</t>
        </is>
      </c>
      <c r="K6" s="27" t="inlineStr">
        <is>
          <t>Optimistic insert + expenses domain reaches dashboard/stats/cashflow in one call.</t>
        </is>
      </c>
    </row>
    <row r="7" ht="42" customHeight="1" s="13">
      <c r="B7" s="25" t="inlineStr">
        <is>
          <t>Tracker entry</t>
        </is>
      </c>
      <c r="C7" s="25" t="inlineStr">
        <is>
          <t>Trackers</t>
        </is>
      </c>
      <c r="D7" s="25" t="inlineStr">
        <is>
          <t>Log tracker entry → dashboard insights refresh</t>
        </is>
      </c>
      <c r="E7" s="25" t="inlineStr">
        <is>
          <t>≤ 500 ms</t>
        </is>
      </c>
      <c r="F7" s="25" t="inlineStr">
        <is>
          <t>AT RISK</t>
        </is>
      </c>
      <c r="G7" s="25" t="inlineStr">
        <is>
          <t>P2</t>
        </is>
      </c>
      <c r="H7" s="25" t="inlineStr">
        <is>
          <t>server/supabase-storage.ts generateInsights O(N×M) reruns on every dashboard-enhanced fetch</t>
        </is>
      </c>
      <c r="I7" s="25" t="inlineStr">
        <is>
          <t>Cache insights separately with 60s TTL; recompute only on tracker mutations.</t>
        </is>
      </c>
      <c r="J7" s="29" t="inlineStr">
        <is>
          <t>FIXED</t>
        </is>
      </c>
      <c r="K7" s="27" t="inlineStr">
        <is>
          <t>Insights cached 60s with eager busting on all six tracker mutators; entry-add optimistic.</t>
        </is>
      </c>
    </row>
    <row r="8" ht="42" customHeight="1" s="13">
      <c r="B8" s="28" t="inlineStr">
        <is>
          <t>Event create</t>
        </is>
      </c>
      <c r="C8" s="28" t="inlineStr">
        <is>
          <t>Calendar</t>
        </is>
      </c>
      <c r="D8" s="28" t="inlineStr">
        <is>
          <t>Create event → dashboard 'today' updates</t>
        </is>
      </c>
      <c r="E8" s="28" t="inlineStr">
        <is>
          <t>≤ 300 ms</t>
        </is>
      </c>
      <c r="F8" s="28" t="inlineStr">
        <is>
          <t>PASS</t>
        </is>
      </c>
      <c r="G8" s="28" t="inlineStr">
        <is>
          <t>—</t>
        </is>
      </c>
      <c r="H8" s="28" t="inlineStr">
        <is>
          <t>CalendarView.tsx mutation uses optimistic-context — reference implementation</t>
        </is>
      </c>
      <c r="I8" s="28" t="inlineStr">
        <is>
          <t>No change — model to replicate elsewhere.</t>
        </is>
      </c>
      <c r="J8" s="23" t="inlineStr">
        <is>
          <t>—</t>
        </is>
      </c>
      <c r="K8" s="27" t="inlineStr">
        <is>
          <t>Already passing.</t>
        </is>
      </c>
    </row>
    <row r="9" ht="42" customHeight="1" s="13">
      <c r="B9" s="25" t="inlineStr">
        <is>
          <t>Goal update</t>
        </is>
      </c>
      <c r="C9" s="25" t="inlineStr">
        <is>
          <t>Goals</t>
        </is>
      </c>
      <c r="D9" s="25" t="inlineStr">
        <is>
          <t>Update goal progress → dashboard bar moves</t>
        </is>
      </c>
      <c r="E9" s="25" t="inlineStr">
        <is>
          <t>≤ 300 ms</t>
        </is>
      </c>
      <c r="F9" s="25" t="inlineStr">
        <is>
          <t>AT RISK</t>
        </is>
      </c>
      <c r="G9" s="25" t="inlineStr">
        <is>
          <t>P2</t>
        </is>
      </c>
      <c r="H9" s="25" t="inlineStr">
        <is>
          <t>dashboard.tsx goal handler invalidates /api/goals, /api/stats, /api/dashboard-enhanced</t>
        </is>
      </c>
      <c r="I9" s="25" t="inlineStr">
        <is>
          <t>Optimistic; cache-bus.</t>
        </is>
      </c>
      <c r="J9" s="29" t="inlineStr">
        <is>
          <t>FIXED</t>
        </is>
      </c>
      <c r="K9" s="27" t="inlineStr">
        <is>
          <t>Optimistic patch + rollback + invalidateDomain('goals').</t>
        </is>
      </c>
    </row>
    <row r="10" ht="42" customHeight="1" s="13">
      <c r="B10" s="28" t="inlineStr">
        <is>
          <t>Profile switch</t>
        </is>
      </c>
      <c r="C10" s="28" t="inlineStr">
        <is>
          <t>Header</t>
        </is>
      </c>
      <c r="D10" s="28" t="inlineStr">
        <is>
          <t>Switch selected profile → all lists refilter</t>
        </is>
      </c>
      <c r="E10" s="28" t="inlineStr">
        <is>
          <t>≤ 300 ms</t>
        </is>
      </c>
      <c r="F10" s="28" t="inlineStr">
        <is>
          <t>FAIL</t>
        </is>
      </c>
      <c r="G10" s="28" t="inlineStr">
        <is>
          <t>P1</t>
        </is>
      </c>
      <c r="H10" s="28" t="inlineStr">
        <is>
          <t>profile-detail.tsx 230 hand-rolled invalidations don't consistently trigger on profile switch; profile-scoping is server-side</t>
        </is>
      </c>
      <c r="I10" s="28" t="inlineStr">
        <is>
          <t>Server-side: pass selected-profile via header (already does); client-side: ensure query keys include selected profile id so switch triggers refetch, not manual invalidation.</t>
        </is>
      </c>
      <c r="J10" s="29" t="inlineStr">
        <is>
          <t>VERIFIED OK</t>
        </is>
      </c>
      <c r="K10" s="27" t="inlineStr">
        <is>
          <t>Audited: every profile-scoped key already embeds the id; keepPreviousData + key segmentation pinned by tests/dashboard-filter-perf.test.ts (6/6 pass).</t>
        </is>
      </c>
    </row>
    <row r="11" ht="42" customHeight="1" s="13">
      <c r="B11" s="25" t="inlineStr">
        <is>
          <t>Delete propagation</t>
        </is>
      </c>
      <c r="C11" s="25" t="inlineStr">
        <is>
          <t>Any</t>
        </is>
      </c>
      <c r="D11" s="25" t="inlineStr">
        <is>
          <t>Delete anywhere → dashboard totals drop</t>
        </is>
      </c>
      <c r="E11" s="25" t="inlineStr">
        <is>
          <t>≤ 500 ms</t>
        </is>
      </c>
      <c r="F11" s="25" t="inlineStr">
        <is>
          <t>AT RISK</t>
        </is>
      </c>
      <c r="G11" s="25" t="inlineStr">
        <is>
          <t>P0 if wrong</t>
        </is>
      </c>
      <c r="H11" s="25" t="inlineStr">
        <is>
          <t>Duplicate keys on dashboard.tsx (['/api/profiles'] ×3, ['/api/events'] ×3, ['/api/goals'] ×3) cause partial staleness</t>
        </is>
      </c>
      <c r="I11" s="25" t="inlineStr">
        <is>
          <t>Deduplicate keys with a single `useQuery` hoisted to the page top; children read via `useQueryClient().getQueryData`.</t>
        </is>
      </c>
      <c r="J11" s="29" t="inlineStr">
        <is>
          <t>FIXED</t>
        </is>
      </c>
      <c r="K11" s="27" t="inlineStr">
        <is>
          <t>Duplicate keys deduped; single page-level query per key; domain-bus propagation.</t>
        </is>
      </c>
    </row>
    <row r="12" ht="42" customHeight="1" s="13">
      <c r="B12" s="28" t="inlineStr">
        <is>
          <t>Cross-tab sync</t>
        </is>
      </c>
      <c r="C12" s="28" t="inlineStr">
        <is>
          <t>Multiple tabs open</t>
        </is>
      </c>
      <c r="D12" s="28" t="inlineStr">
        <is>
          <t>Change in tab A → tab B updates</t>
        </is>
      </c>
      <c r="E12" s="28" t="inlineStr">
        <is>
          <t>≤ 5 s</t>
        </is>
      </c>
      <c r="F12" s="28" t="inlineStr">
        <is>
          <t>UNVERIFIED</t>
        </is>
      </c>
      <c r="G12" s="28" t="inlineStr">
        <is>
          <t>—</t>
        </is>
      </c>
      <c r="H12" s="28" t="inlineStr">
        <is>
          <t>lib/queryClient.ts uses per-user localStorage persistence — could support broadcast</t>
        </is>
      </c>
      <c r="I12" s="28" t="inlineStr">
        <is>
          <t>Add `broadcastQueryClient` (TanStack Query plugin) with BroadcastChannel.</t>
        </is>
      </c>
      <c r="J12" s="30" t="inlineStr">
        <is>
          <t>DEFERRED</t>
        </is>
      </c>
      <c r="K12" s="27" t="inlineStr">
        <is>
          <t>broadcastQueryClient not added (new dependency + cross-tab semantics need product decision).</t>
        </is>
      </c>
    </row>
  </sheetData>
  <autoFilter ref="B2:I12"/>
  <conditionalFormatting sqref="F3:F12">
    <cfRule type="cellIs" rank="0" priority="2" equalAverage="0" operator="equal" aboveAverage="0" dxfId="15" text="" percent="0" bottom="0">
      <formula>"PASS"</formula>
    </cfRule>
    <cfRule type="cellIs" rank="0" priority="3" equalAverage="0" operator="equal" aboveAverage="0" dxfId="16" text="" percent="0" bottom="0">
      <formula>"AT RISK"</formula>
    </cfRule>
    <cfRule type="cellIs" rank="0" priority="4" equalAverage="0" operator="equal" aboveAverage="0" dxfId="17" text="" percent="0" bottom="0">
      <formula>"FAIL"</formula>
    </cfRule>
    <cfRule type="cellIs" rank="0" priority="5" equalAverage="0" operator="equal" aboveAverage="0" dxfId="18" text="" percent="0" bottom="0">
      <formula>"UNVERIFIED"</formula>
    </cfRule>
  </conditionalFormatting>
  <conditionalFormatting sqref="G3:G12">
    <cfRule type="cellIs" rank="0" priority="6" equalAverage="0" operator="equal" aboveAverage="0" dxfId="17" text="" percent="0" bottom="0">
      <formula>"P0"</formula>
    </cfRule>
    <cfRule type="cellIs" rank="0" priority="7" equalAverage="0" operator="equal" aboveAverage="0" dxfId="16" text="" percent="0" bottom="0">
      <formula>"P1"</formula>
    </cfRule>
    <cfRule type="cellIs" rank="0" priority="8" equalAverage="0" operator="equal" aboveAverage="0" dxfId="19" text="" percent="0" bottom="0">
      <formula>"P2"</formula>
    </cfRule>
    <cfRule type="cellIs" rank="0" priority="9" equalAverage="0" operator="equal" aboveAverage="0" dxfId="20" text="" percent="0" bottom="0">
      <formula>"P3"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K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" customWidth="1" style="12" min="1" max="1"/>
    <col width="16" customWidth="1" style="12" min="2" max="2"/>
    <col width="22" customWidth="1" style="12" min="3" max="3"/>
    <col width="40" customWidth="1" style="12" min="4" max="4"/>
    <col width="22" customWidth="1" style="12" min="5" max="5"/>
    <col width="12" customWidth="1" style="12" min="6" max="6"/>
    <col width="10" customWidth="1" style="12" min="7" max="7"/>
    <col width="42" customWidth="1" style="12" min="8" max="8"/>
    <col width="55" customWidth="1" style="12" min="9" max="9"/>
    <col width="16" customWidth="1" style="13" min="10" max="10"/>
    <col width="60" customWidth="1" style="13" min="11" max="11"/>
  </cols>
  <sheetData>
    <row r="1"/>
    <row r="2" ht="33.75" customHeight="1" s="13">
      <c r="A2" s="24" t="n"/>
      <c r="B2" s="24" t="inlineStr">
        <is>
          <t>Section</t>
        </is>
      </c>
      <c r="C2" s="24" t="inlineStr">
        <is>
          <t>Page / Module</t>
        </is>
      </c>
      <c r="D2" s="24" t="inlineStr">
        <is>
          <t>Action</t>
        </is>
      </c>
      <c r="E2" s="24" t="inlineStr">
        <is>
          <t>Target</t>
        </is>
      </c>
      <c r="F2" s="24" t="inlineStr">
        <is>
          <t>Verdict</t>
        </is>
      </c>
      <c r="G2" s="24" t="inlineStr">
        <is>
          <t>Severity</t>
        </is>
      </c>
      <c r="H2" s="24" t="inlineStr">
        <is>
          <t>Root cause (file:line)</t>
        </is>
      </c>
      <c r="I2" s="24" t="inlineStr">
        <is>
          <t>Fix recommendation</t>
        </is>
      </c>
      <c r="J2" s="23" t="inlineStr">
        <is>
          <t>Status 2026-07-21</t>
        </is>
      </c>
      <c r="K2" s="23" t="inlineStr">
        <is>
          <t>Resolution</t>
        </is>
      </c>
    </row>
    <row r="3" ht="42" customHeight="1" s="13">
      <c r="B3" s="25" t="inlineStr">
        <is>
          <t>Modal open</t>
        </is>
      </c>
      <c r="C3" s="25" t="inlineStr">
        <is>
          <t>QuickAddDialog</t>
        </is>
      </c>
      <c r="D3" s="25" t="inlineStr">
        <is>
          <t>Click + FAB → dialog visible</t>
        </is>
      </c>
      <c r="E3" s="25" t="inlineStr">
        <is>
          <t>≤ 100 ms</t>
        </is>
      </c>
      <c r="F3" s="25" t="inlineStr">
        <is>
          <t>AT RISK</t>
        </is>
      </c>
      <c r="G3" s="25" t="inlineStr">
        <is>
          <t>P1</t>
        </is>
      </c>
      <c r="H3" s="25" t="inlineStr">
        <is>
          <t>components/dashboard/quick-add/QuickAddDialog.tsx</t>
        </is>
      </c>
      <c r="I3" s="25" t="inlineStr">
        <is>
          <t>Defer heavy prefetch until after first paint (requestIdleCallback).</t>
        </is>
      </c>
      <c r="J3" s="29" t="inlineStr">
        <is>
          <t>FIXED</t>
        </is>
      </c>
      <c r="K3" s="27" t="inlineStr">
        <is>
          <t>Non-critical work deferred behind requestIdleCallback; shell paints immediately.</t>
        </is>
      </c>
    </row>
    <row r="4" ht="42" customHeight="1" s="13">
      <c r="B4" s="28" t="inlineStr">
        <is>
          <t>Modal open</t>
        </is>
      </c>
      <c r="C4" s="28" t="inlineStr">
        <is>
          <t>TaskHabitPopups</t>
        </is>
      </c>
      <c r="D4" s="28" t="inlineStr">
        <is>
          <t>Habit list scroll</t>
        </is>
      </c>
      <c r="E4" s="28" t="inlineStr">
        <is>
          <t>60 fps</t>
        </is>
      </c>
      <c r="F4" s="28" t="inlineStr">
        <is>
          <t>PASS</t>
        </is>
      </c>
      <c r="G4" s="28" t="inlineStr">
        <is>
          <t>—</t>
        </is>
      </c>
      <c r="H4" s="28" t="inlineStr">
        <is>
          <t>components/dashboard/TaskHabitPopups.tsx:1299 uses native scroll (comment: ScrollArea broken on iOS Safari in dialogs)</t>
        </is>
      </c>
      <c r="I4" s="28" t="inlineStr">
        <is>
          <t>No change — the code already avoids the trap.</t>
        </is>
      </c>
      <c r="J4" s="23" t="inlineStr">
        <is>
          <t>—</t>
        </is>
      </c>
      <c r="K4" s="27" t="inlineStr">
        <is>
          <t>Already passing.</t>
        </is>
      </c>
    </row>
    <row r="5" ht="42" customHeight="1" s="13">
      <c r="B5" s="25" t="inlineStr">
        <is>
          <t>Confirm dialog</t>
        </is>
      </c>
      <c r="C5" s="25" t="inlineStr">
        <is>
          <t>Delete</t>
        </is>
      </c>
      <c r="D5" s="25" t="inlineStr">
        <is>
          <t>Show → focus destructive button</t>
        </is>
      </c>
      <c r="E5" s="25" t="inlineStr">
        <is>
          <t>≤ 100 ms</t>
        </is>
      </c>
      <c r="F5" s="25" t="inlineStr">
        <is>
          <t>PASS</t>
        </is>
      </c>
      <c r="G5" s="25" t="inlineStr">
        <is>
          <t>—</t>
        </is>
      </c>
      <c r="H5" s="25" t="inlineStr">
        <is>
          <t>components/ui/alert-dialog.tsx</t>
        </is>
      </c>
      <c r="I5" s="25" t="inlineStr">
        <is>
          <t>No change.</t>
        </is>
      </c>
      <c r="J5" s="23" t="inlineStr">
        <is>
          <t>—</t>
        </is>
      </c>
      <c r="K5" s="27" t="inlineStr">
        <is>
          <t>Already passing.</t>
        </is>
      </c>
    </row>
    <row r="6" ht="42" customHeight="1" s="13">
      <c r="B6" s="28" t="inlineStr">
        <is>
          <t>Toast</t>
        </is>
      </c>
      <c r="C6" s="28" t="inlineStr">
        <is>
          <t>Any</t>
        </is>
      </c>
      <c r="D6" s="28" t="inlineStr">
        <is>
          <t>Toast in / out animation</t>
        </is>
      </c>
      <c r="E6" s="28" t="inlineStr">
        <is>
          <t>60 fps</t>
        </is>
      </c>
      <c r="F6" s="28" t="inlineStr">
        <is>
          <t>PASS</t>
        </is>
      </c>
      <c r="G6" s="28" t="inlineStr">
        <is>
          <t>—</t>
        </is>
      </c>
      <c r="H6" s="28" t="inlineStr">
        <is>
          <t>sonner via components/ui/toast.tsx</t>
        </is>
      </c>
      <c r="I6" s="28" t="inlineStr">
        <is>
          <t>No change.</t>
        </is>
      </c>
      <c r="J6" s="23" t="inlineStr">
        <is>
          <t>—</t>
        </is>
      </c>
      <c r="K6" s="27" t="inlineStr">
        <is>
          <t>Already passing.</t>
        </is>
      </c>
    </row>
    <row r="7" ht="42" customHeight="1" s="13">
      <c r="B7" s="25" t="inlineStr">
        <is>
          <t>Sheet / drawer</t>
        </is>
      </c>
      <c r="C7" s="25" t="inlineStr">
        <is>
          <t>Filters</t>
        </is>
      </c>
      <c r="D7" s="25" t="inlineStr">
        <is>
          <t>Drawer open transform</t>
        </is>
      </c>
      <c r="E7" s="25" t="inlineStr">
        <is>
          <t>≤ 150 ms</t>
        </is>
      </c>
      <c r="F7" s="25" t="inlineStr">
        <is>
          <t>PASS</t>
        </is>
      </c>
      <c r="G7" s="25" t="inlineStr">
        <is>
          <t>—</t>
        </is>
      </c>
      <c r="H7" s="25" t="inlineStr">
        <is>
          <t>Radix Sheet CSS transform</t>
        </is>
      </c>
      <c r="I7" s="25" t="inlineStr">
        <is>
          <t>No change.</t>
        </is>
      </c>
      <c r="J7" s="23" t="inlineStr">
        <is>
          <t>—</t>
        </is>
      </c>
      <c r="K7" s="27" t="inlineStr">
        <is>
          <t>Already passing.</t>
        </is>
      </c>
    </row>
    <row r="8" ht="42" customHeight="1" s="13">
      <c r="B8" s="28" t="inlineStr">
        <is>
          <t>Popover</t>
        </is>
      </c>
      <c r="C8" s="28" t="inlineStr">
        <is>
          <t>Any</t>
        </is>
      </c>
      <c r="D8" s="28" t="inlineStr">
        <is>
          <t>Popover open</t>
        </is>
      </c>
      <c r="E8" s="28" t="inlineStr">
        <is>
          <t>≤ 100 ms</t>
        </is>
      </c>
      <c r="F8" s="28" t="inlineStr">
        <is>
          <t>PASS</t>
        </is>
      </c>
      <c r="G8" s="28" t="inlineStr">
        <is>
          <t>—</t>
        </is>
      </c>
      <c r="H8" s="28" t="inlineStr">
        <is>
          <t>Radix Popover</t>
        </is>
      </c>
      <c r="I8" s="28" t="inlineStr">
        <is>
          <t>No change.</t>
        </is>
      </c>
      <c r="J8" s="23" t="inlineStr">
        <is>
          <t>—</t>
        </is>
      </c>
      <c r="K8" s="27" t="inlineStr">
        <is>
          <t>Already passing.</t>
        </is>
      </c>
    </row>
    <row r="9" ht="42" customHeight="1" s="13">
      <c r="B9" s="25" t="inlineStr">
        <is>
          <t>Tooltip</t>
        </is>
      </c>
      <c r="C9" s="25" t="inlineStr">
        <is>
          <t>Any</t>
        </is>
      </c>
      <c r="D9" s="25" t="inlineStr">
        <is>
          <t>Tooltip 500 ms hover delay</t>
        </is>
      </c>
      <c r="E9" s="25" t="inlineStr">
        <is>
          <t>Standard</t>
        </is>
      </c>
      <c r="F9" s="25" t="inlineStr">
        <is>
          <t>PASS</t>
        </is>
      </c>
      <c r="G9" s="25" t="inlineStr">
        <is>
          <t>—</t>
        </is>
      </c>
      <c r="H9" s="25" t="inlineStr">
        <is>
          <t>Radix Tooltip</t>
        </is>
      </c>
      <c r="I9" s="25" t="inlineStr">
        <is>
          <t>No change.</t>
        </is>
      </c>
      <c r="J9" s="23" t="inlineStr">
        <is>
          <t>—</t>
        </is>
      </c>
      <c r="K9" s="27" t="inlineStr">
        <is>
          <t>Already passing.</t>
        </is>
      </c>
    </row>
    <row r="10" ht="42" customHeight="1" s="13">
      <c r="B10" s="28" t="inlineStr">
        <is>
          <t>Command palette</t>
        </is>
      </c>
      <c r="C10" s="28" t="inlineStr">
        <is>
          <t>⌘K</t>
        </is>
      </c>
      <c r="D10" s="28" t="inlineStr">
        <is>
          <t>Open animation</t>
        </is>
      </c>
      <c r="E10" s="28" t="inlineStr">
        <is>
          <t>≤ 100 ms</t>
        </is>
      </c>
      <c r="F10" s="28" t="inlineStr">
        <is>
          <t>PASS</t>
        </is>
      </c>
      <c r="G10" s="28" t="inlineStr">
        <is>
          <t>—</t>
        </is>
      </c>
      <c r="H10" s="28" t="inlineStr">
        <is>
          <t>components/CommandSearch.tsx</t>
        </is>
      </c>
      <c r="I10" s="28" t="inlineStr">
        <is>
          <t>No change.</t>
        </is>
      </c>
      <c r="J10" s="23" t="inlineStr">
        <is>
          <t>—</t>
        </is>
      </c>
      <c r="K10" s="27" t="inlineStr">
        <is>
          <t>Already passing.</t>
        </is>
      </c>
    </row>
    <row r="11" ht="42" customHeight="1" s="13">
      <c r="B11" s="25" t="inlineStr">
        <is>
          <t>Attachment preview</t>
        </is>
      </c>
      <c r="C11" s="25" t="inlineStr">
        <is>
          <t>Chat</t>
        </is>
      </c>
      <c r="D11" s="25" t="inlineStr">
        <is>
          <t>SmartFillDialog open</t>
        </is>
      </c>
      <c r="E11" s="25" t="inlineStr">
        <is>
          <t>≤ 150 ms</t>
        </is>
      </c>
      <c r="F11" s="25" t="inlineStr">
        <is>
          <t>AT RISK</t>
        </is>
      </c>
      <c r="G11" s="25" t="inlineStr">
        <is>
          <t>P2</t>
        </is>
      </c>
      <c r="H11" s="25" t="inlineStr">
        <is>
          <t>Lazy-loaded (Suspense) — cold open pays the JS parse cost</t>
        </is>
      </c>
      <c r="I11" s="25" t="inlineStr">
        <is>
          <t>Preload on `pointerdown` of the attach button (not click).</t>
        </is>
      </c>
      <c r="J11" s="29" t="inlineStr">
        <is>
          <t>FIXED</t>
        </is>
      </c>
      <c r="K11" s="27" t="inlineStr">
        <is>
          <t>Preloaded on pointerdown of the attach button — JS parse paid during the file-picker pause.</t>
        </is>
      </c>
    </row>
    <row r="12" ht="42" customHeight="1" s="13">
      <c r="B12" s="28" t="inlineStr">
        <is>
          <t>Bottom sheet</t>
        </is>
      </c>
      <c r="C12" s="28" t="inlineStr">
        <is>
          <t>Mobile actions</t>
        </is>
      </c>
      <c r="D12" s="28" t="inlineStr">
        <is>
          <t>Long-press → contextual actions</t>
        </is>
      </c>
      <c r="E12" s="28" t="inlineStr">
        <is>
          <t>≤ 150 ms</t>
        </is>
      </c>
      <c r="F12" s="28" t="inlineStr">
        <is>
          <t>UNVERIFIED</t>
        </is>
      </c>
      <c r="G12" s="28" t="inlineStr">
        <is>
          <t>—</t>
        </is>
      </c>
      <c r="H12" s="28" t="inlineStr">
        <is>
          <t>Not clearly located</t>
        </is>
      </c>
      <c r="I12" s="28" t="inlineStr">
        <is>
          <t>Verify with a device test.</t>
        </is>
      </c>
      <c r="J12" s="30" t="inlineStr">
        <is>
          <t>DEFERRED</t>
        </is>
      </c>
      <c r="K12" s="27" t="inlineStr">
        <is>
          <t>Needs device test.</t>
        </is>
      </c>
    </row>
    <row r="13" ht="42" customHeight="1" s="13">
      <c r="B13" s="25" t="inlineStr">
        <is>
          <t>Toggle</t>
        </is>
      </c>
      <c r="C13" s="25" t="inlineStr">
        <is>
          <t>Task checkbox / habit tick</t>
        </is>
      </c>
      <c r="D13" s="25" t="inlineStr">
        <is>
          <t>Visual state change</t>
        </is>
      </c>
      <c r="E13" s="25" t="inlineStr">
        <is>
          <t>≤ 50 ms</t>
        </is>
      </c>
      <c r="F13" s="25" t="inlineStr">
        <is>
          <t>FAIL</t>
        </is>
      </c>
      <c r="G13" s="25" t="inlineStr">
        <is>
          <t>P1</t>
        </is>
      </c>
      <c r="H13" s="25" t="inlineStr">
        <is>
          <t>State flips only after server response (see Dashboard-Sync sheet)</t>
        </is>
      </c>
      <c r="I13" s="25" t="inlineStr">
        <is>
          <t>Optimistic toggle.</t>
        </is>
      </c>
      <c r="J13" s="29" t="inlineStr">
        <is>
          <t>FIXED</t>
        </is>
      </c>
      <c r="K13" s="27" t="inlineStr">
        <is>
          <t>Task/habit toggles optimistic — state flips before server response.</t>
        </is>
      </c>
    </row>
    <row r="14" ht="42" customHeight="1" s="13">
      <c r="B14" s="28" t="inlineStr">
        <is>
          <t>Snackbar undo</t>
        </is>
      </c>
      <c r="C14" s="28" t="inlineStr">
        <is>
          <t>Delete</t>
        </is>
      </c>
      <c r="D14" s="28" t="inlineStr">
        <is>
          <t>Show 5-8 s undo</t>
        </is>
      </c>
      <c r="E14" s="28" t="inlineStr">
        <is>
          <t>One-tap restore</t>
        </is>
      </c>
      <c r="F14" s="28" t="inlineStr">
        <is>
          <t>FAIL</t>
        </is>
      </c>
      <c r="G14" s="28" t="inlineStr">
        <is>
          <t>P2</t>
        </is>
      </c>
      <c r="H14" s="28" t="inlineStr">
        <is>
          <t>Not implemented anywhere in the app</t>
        </is>
      </c>
      <c r="I14" s="28" t="inlineStr">
        <is>
          <t>Add sonner action toast on delete mutations.</t>
        </is>
      </c>
      <c r="J14" s="29" t="inlineStr">
        <is>
          <t>FIXED</t>
        </is>
      </c>
      <c r="K14" s="27" t="inlineStr">
        <is>
          <t>Uniform showUndoToast helper (8s window) across task/habit/expense/income/paycheck/tracker-entry deletes.</t>
        </is>
      </c>
    </row>
    <row r="15" ht="42" customHeight="1" s="13">
      <c r="B15" s="25" t="inlineStr">
        <is>
          <t>Focus trap</t>
        </is>
      </c>
      <c r="C15" s="25" t="inlineStr">
        <is>
          <t>Any modal</t>
        </is>
      </c>
      <c r="D15" s="25" t="inlineStr">
        <is>
          <t>Tab cycles within modal</t>
        </is>
      </c>
      <c r="E15" s="25" t="inlineStr">
        <is>
          <t>No focus escape</t>
        </is>
      </c>
      <c r="F15" s="25" t="inlineStr">
        <is>
          <t>PASS</t>
        </is>
      </c>
      <c r="G15" s="25" t="inlineStr">
        <is>
          <t>—</t>
        </is>
      </c>
      <c r="H15" s="25" t="inlineStr">
        <is>
          <t>Radix Dialog focus-trap</t>
        </is>
      </c>
      <c r="I15" s="25" t="inlineStr">
        <is>
          <t>No change.</t>
        </is>
      </c>
      <c r="J15" s="23" t="inlineStr">
        <is>
          <t>—</t>
        </is>
      </c>
      <c r="K15" s="27" t="inlineStr">
        <is>
          <t>Already passing.</t>
        </is>
      </c>
    </row>
  </sheetData>
  <autoFilter ref="B2:I15"/>
  <conditionalFormatting sqref="F3:F15">
    <cfRule type="cellIs" rank="0" priority="2" equalAverage="0" operator="equal" aboveAverage="0" dxfId="15" text="" percent="0" bottom="0">
      <formula>"PASS"</formula>
    </cfRule>
    <cfRule type="cellIs" rank="0" priority="3" equalAverage="0" operator="equal" aboveAverage="0" dxfId="16" text="" percent="0" bottom="0">
      <formula>"AT RISK"</formula>
    </cfRule>
    <cfRule type="cellIs" rank="0" priority="4" equalAverage="0" operator="equal" aboveAverage="0" dxfId="17" text="" percent="0" bottom="0">
      <formula>"FAIL"</formula>
    </cfRule>
    <cfRule type="cellIs" rank="0" priority="5" equalAverage="0" operator="equal" aboveAverage="0" dxfId="18" text="" percent="0" bottom="0">
      <formula>"UNVERIFIED"</formula>
    </cfRule>
  </conditionalFormatting>
  <conditionalFormatting sqref="G3:G15">
    <cfRule type="cellIs" rank="0" priority="6" equalAverage="0" operator="equal" aboveAverage="0" dxfId="17" text="" percent="0" bottom="0">
      <formula>"P0"</formula>
    </cfRule>
    <cfRule type="cellIs" rank="0" priority="7" equalAverage="0" operator="equal" aboveAverage="0" dxfId="16" text="" percent="0" bottom="0">
      <formula>"P1"</formula>
    </cfRule>
    <cfRule type="cellIs" rank="0" priority="8" equalAverage="0" operator="equal" aboveAverage="0" dxfId="19" text="" percent="0" bottom="0">
      <formula>"P2"</formula>
    </cfRule>
    <cfRule type="cellIs" rank="0" priority="9" equalAverage="0" operator="equal" aboveAverage="0" dxfId="20" text="" percent="0" bottom="0">
      <formula>"P3"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J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" customWidth="1" style="12" min="1" max="1"/>
    <col width="5" customWidth="1" style="12" min="2" max="2"/>
    <col width="10" customWidth="1" style="12" min="3" max="3"/>
    <col width="18" customWidth="1" style="12" min="4" max="4"/>
    <col width="55" customWidth="1" style="12" min="5" max="5"/>
    <col width="45" customWidth="1" style="12" min="6" max="6"/>
    <col width="40" customWidth="1" style="12" min="7" max="7"/>
    <col width="55" customWidth="1" style="12" min="8" max="8"/>
    <col width="16" customWidth="1" style="13" min="9" max="9"/>
    <col width="60" customWidth="1" style="13" min="10" max="10"/>
  </cols>
  <sheetData>
    <row r="1"/>
    <row r="2" ht="33.75" customHeight="1" s="13">
      <c r="A2" s="24" t="n"/>
      <c r="B2" s="24" t="inlineStr">
        <is>
          <t>#</t>
        </is>
      </c>
      <c r="C2" s="24" t="inlineStr">
        <is>
          <t>Severity</t>
        </is>
      </c>
      <c r="D2" s="24" t="inlineStr">
        <is>
          <t>Area</t>
        </is>
      </c>
      <c r="E2" s="24" t="inlineStr">
        <is>
          <t>Finding</t>
        </is>
      </c>
      <c r="F2" s="24" t="inlineStr">
        <is>
          <t>Evidence (file:line)</t>
        </is>
      </c>
      <c r="G2" s="24" t="inlineStr">
        <is>
          <t>Impact</t>
        </is>
      </c>
      <c r="H2" s="24" t="inlineStr">
        <is>
          <t>Fix</t>
        </is>
      </c>
      <c r="I2" s="23" t="inlineStr">
        <is>
          <t>Status 2026-07-21</t>
        </is>
      </c>
      <c r="J2" s="23" t="inlineStr">
        <is>
          <t>Resolution</t>
        </is>
      </c>
    </row>
    <row r="3" ht="61.5" customHeight="1" s="13">
      <c r="B3" s="25" t="n">
        <v>1</v>
      </c>
      <c r="C3" s="25" t="inlineStr">
        <is>
          <t>P0</t>
        </is>
      </c>
      <c r="D3" s="25" t="inlineStr">
        <is>
          <t>Chat</t>
        </is>
      </c>
      <c r="E3" s="25" t="inlineStr">
        <is>
          <t>Chat has no streaming — full 170 s wait for first token</t>
        </is>
      </c>
      <c r="F3" s="25" t="inlineStr">
        <is>
          <t>client/src/pages/chat.tsx:1907 chatMutation = plain POST /api/chat; vercel.json api/ai.js maxDuration=300</t>
        </is>
      </c>
      <c r="G3" s="25" t="inlineStr">
        <is>
          <t>Users perceive the app as broken on long assistant answers; violates &lt; 800 ms first-token target by 200×</t>
        </is>
      </c>
      <c r="H3" s="25" t="inlineStr">
        <is>
          <t>Add SSE / ReadableStream in the Node handler; emit tool_start / tool_result / assistant_delta frames</t>
        </is>
      </c>
      <c r="I3" s="29" t="inlineStr">
        <is>
          <t>FIXED</t>
        </is>
      </c>
      <c r="J3" s="27" t="inlineStr">
        <is>
          <t>SSE implemented: ack/assistant_delta/tool_start/tool_result/keepalive/final frames; supportsResponseStreaming set in api/ai.js AND mirrored in the build script that regenerates it. Buffered default path untouched.</t>
        </is>
      </c>
    </row>
    <row r="4" ht="61.5" customHeight="1" s="13">
      <c r="B4" s="28" t="n">
        <v>2</v>
      </c>
      <c r="C4" s="28" t="inlineStr">
        <is>
          <t>P0</t>
        </is>
      </c>
      <c r="D4" s="28" t="inlineStr">
        <is>
          <t>State</t>
        </is>
      </c>
      <c r="E4" s="28" t="inlineStr">
        <is>
          <t>Central cache bus is written but not adopted — 500+ hand-rolled invalidations across app</t>
        </is>
      </c>
      <c r="F4" s="28" t="inlineStr">
        <is>
          <t>client/src/lib/cache-bus.ts (367 LOC, used in 4 files) vs. profile-detail 230, liability-detail 66, finance 52, trackers 50, dashboard 34, CalendarView 22</t>
        </is>
      </c>
      <c r="G4" s="28" t="inlineStr">
        <is>
          <t>Root cause of the whole 'have to manually refresh' bug class</t>
        </is>
      </c>
      <c r="H4" s="28" t="inlineStr">
        <is>
          <t>Migrate every mutation onSuccess to invalidateDomain(...) from cache-bus.ts (mechanical PR)</t>
        </is>
      </c>
      <c r="I4" s="29" t="inlineStr">
        <is>
          <t>FIXED</t>
        </is>
      </c>
      <c r="J4" s="27" t="inlineStr">
        <is>
          <t>~420 hand-rolled invalidations migrated to invalidateDomain(s) across dashboard, finance, trackers, tasks, habits, wellness, profile-detail, liability-detail. Remaining ~30 raw calls are documented keepers.</t>
        </is>
      </c>
    </row>
    <row r="5" ht="61.5" customHeight="1" s="13">
      <c r="B5" s="25" t="n">
        <v>3</v>
      </c>
      <c r="C5" s="25" t="inlineStr">
        <is>
          <t>P0</t>
        </is>
      </c>
      <c r="D5" s="25" t="inlineStr">
        <is>
          <t>Server</t>
        </is>
      </c>
      <c r="E5" s="25" t="inlineStr">
        <is>
          <t>getDashboardEnhanced runs O(N×M) insight generation on every dashboard fetch</t>
        </is>
      </c>
      <c r="F5" s="25" t="inlineStr">
        <is>
          <t>server/supabase-storage.ts:270-420 generateInsights iterates every tracker × every entry each call</t>
        </is>
      </c>
      <c r="G5" s="25" t="inlineStr">
        <is>
          <t>Dashboard scales badly with tracker entry count; every bootstrap pays this</t>
        </is>
      </c>
      <c r="H5" s="25" t="inlineStr">
        <is>
          <t>Cache insights separately with 60 s TTL; recompute only on tracker/expense mutations</t>
        </is>
      </c>
      <c r="I5" s="29" t="inlineStr">
        <is>
          <t>FIXED</t>
        </is>
      </c>
      <c r="J5" s="27" t="inlineStr">
        <is>
          <t>Per-user 60s TTL cache + parallelized input fetches + eager busting on tracker mutations.</t>
        </is>
      </c>
    </row>
    <row r="6" ht="61.5" customHeight="1" s="13">
      <c r="B6" s="28" t="n">
        <v>4</v>
      </c>
      <c r="C6" s="28" t="inlineStr">
        <is>
          <t>P0</t>
        </is>
      </c>
      <c r="D6" s="28" t="inlineStr">
        <is>
          <t>iOS layout</t>
        </is>
      </c>
      <c r="E6" s="28" t="inlineStr">
        <is>
          <t>Dashboard modal + DocumentViewer use 100vh instead of dvh — content cut off on iOS URL bar</t>
        </is>
      </c>
      <c r="F6" s="28" t="inlineStr">
        <is>
          <t>client/src/pages/dashboard.tsx:2207 calc(100vh - 160px); DocumentViewer.tsx:1319, 1325 calc(100vh - 200px); editor.tsx:1113,1117 h-screen</t>
        </is>
      </c>
      <c r="G6" s="28" t="inlineStr">
        <is>
          <t>Users can't reach bottom controls on iPhone; App.tsx already uses h-dvh so the pattern exists</t>
        </is>
      </c>
      <c r="H6" s="28" t="inlineStr">
        <is>
          <t>Replace 100vh → 100dvh; h-screen → h-dvh in the listed files</t>
        </is>
      </c>
      <c r="I6" s="29" t="inlineStr">
        <is>
          <t>FIXED</t>
        </is>
      </c>
      <c r="J6" s="27" t="inlineStr">
        <is>
          <t>dashboard.tsx, DocumentViewer.tsx (×2), editor.tsx (×2) all migrated to dvh.</t>
        </is>
      </c>
    </row>
    <row r="7" ht="61.5" customHeight="1" s="13">
      <c r="B7" s="25" t="n">
        <v>5</v>
      </c>
      <c r="C7" s="25" t="inlineStr">
        <is>
          <t>P0</t>
        </is>
      </c>
      <c r="D7" s="25" t="inlineStr">
        <is>
          <t>Server</t>
        </is>
      </c>
      <c r="E7" s="25" t="inlineStr">
        <is>
          <t>deleteProfile cascade fallback is O(items) sequential Supabase round-trips</t>
        </is>
      </c>
      <c r="F7" s="25" t="inlineStr">
        <is>
          <t>server/supabase-storage.ts:1595-1720 legacy loop that runs if migrations/009_delete_profile_cascade.sql RPC is missing</t>
        </is>
      </c>
      <c r="G7" s="25" t="inlineStr">
        <is>
          <t>Delete a person profile with 300 items = 300 sequential awaits; will hit Vercel function timeout</t>
        </is>
      </c>
      <c r="H7" s="25" t="inlineStr">
        <is>
          <t>Confirm delete_profile_cascade RPC is deployed everywhere; delete the fallback loop, or make it batch with in() lists</t>
        </is>
      </c>
      <c r="I7" s="29" t="inlineStr">
        <is>
          <t>FIXED</t>
        </is>
      </c>
      <c r="J7" s="27" t="inlineStr">
        <is>
          <t>Fallback rewritten: parallel batched .in() chunked deletes (100 ids/chunk), FK ordering preserved, identical semantics; ~300 round trips → ~12 waves.</t>
        </is>
      </c>
    </row>
    <row r="8" ht="61.5" customHeight="1" s="13">
      <c r="B8" s="28" t="n">
        <v>6</v>
      </c>
      <c r="C8" s="28" t="inlineStr">
        <is>
          <t>P1</t>
        </is>
      </c>
      <c r="D8" s="28" t="inlineStr">
        <is>
          <t>Chat perf</t>
        </is>
      </c>
      <c r="E8" s="28" t="inlineStr">
        <is>
          <t>3648-LOC chat page with only 4 useMemo — every keystroke rerenders all messages/images/tool cards</t>
        </is>
      </c>
      <c r="F8" s="28" t="inlineStr">
        <is>
          <t>client/src/pages/chat.tsx composer &lt;Textarea value={input}&gt; line 3499; messages.map line 2767; no React.memo on message row</t>
        </is>
      </c>
      <c r="G8" s="28" t="inlineStr">
        <is>
          <t>Typing lag on any thread with images or tool cards; iOS most affected</t>
        </is>
      </c>
      <c r="H8" s="28" t="inlineStr">
        <is>
          <t>Extract &lt;ChatComposer/&gt; with its own state; React.memo message row; virtualize with react-window when &gt; 100 messages</t>
        </is>
      </c>
      <c r="I8" s="29" t="inlineStr">
        <is>
          <t>FIXED</t>
        </is>
      </c>
      <c r="J8" s="27" t="inlineStr">
        <is>
          <t>ChatComposer extraction + memoized MessageRow with stable callbacks; entry-edit state scoped to the owning row.</t>
        </is>
      </c>
    </row>
    <row r="9" ht="61.5" customHeight="1" s="13">
      <c r="B9" s="25" t="n">
        <v>7</v>
      </c>
      <c r="C9" s="25" t="inlineStr">
        <is>
          <t>P1</t>
        </is>
      </c>
      <c r="D9" s="25" t="inlineStr">
        <is>
          <t>Chat perf</t>
        </is>
      </c>
      <c r="E9" s="25" t="inlineStr">
        <is>
          <t>EXIF orientation parsing done synchronously on main thread</t>
        </is>
      </c>
      <c r="F9" s="25" t="inlineStr">
        <is>
          <t>client/src/pages/chat.tsx:2260 correctImageOrientation() reads full file into ArrayBuffer + canvas resize</t>
        </is>
      </c>
      <c r="G9" s="25" t="inlineStr">
        <is>
          <t>Attaching a 10 MB iPhone photo blocks paint for hundreds of ms</t>
        </is>
      </c>
      <c r="H9" s="25" t="inlineStr">
        <is>
          <t>Move to Worker (createImageBitmap + OffscreenCanvas)</t>
        </is>
      </c>
      <c r="I9" s="29" t="inlineStr">
        <is>
          <t>FIXED</t>
        </is>
      </c>
      <c r="J9" s="27" t="inlineStr">
        <is>
          <t>createImageBitmap off-thread path with legacy fallback.</t>
        </is>
      </c>
    </row>
    <row r="10" ht="61.5" customHeight="1" s="13">
      <c r="B10" s="28" t="n">
        <v>8</v>
      </c>
      <c r="C10" s="28" t="inlineStr">
        <is>
          <t>P1</t>
        </is>
      </c>
      <c r="D10" s="28" t="inlineStr">
        <is>
          <t>Chat perf</t>
        </is>
      </c>
      <c r="E10" s="28" t="inlineStr">
        <is>
          <t>Base64 attachment data lives in React message state</t>
        </is>
      </c>
      <c r="F10" s="28" t="inlineStr">
        <is>
          <t>client/src/pages/chat.tsx:~1078 staged attachments and msg.attachment.data</t>
        </is>
      </c>
      <c r="G10" s="28" t="inlineStr">
        <is>
          <t>Every setMessages ships a huge base64 string through reconciliation</t>
        </is>
      </c>
      <c r="H10" s="28" t="inlineStr">
        <is>
          <t>Store as Blob/File in a ref; only keep a preview URL and mimeType in state</t>
        </is>
      </c>
      <c r="I10" s="29" t="inlineStr">
        <is>
          <t>FIXED</t>
        </is>
      </c>
      <c r="J10" s="27" t="inlineStr">
        <is>
          <t>Staged attachments moved to a ref Map keyed by preview URL; message-embedded base64 unchanged (required by smart-fill + persistence).</t>
        </is>
      </c>
    </row>
    <row r="11" ht="61.5" customHeight="1" s="13">
      <c r="B11" s="25" t="n">
        <v>9</v>
      </c>
      <c r="C11" s="25" t="inlineStr">
        <is>
          <t>P1</t>
        </is>
      </c>
      <c r="D11" s="25" t="inlineStr">
        <is>
          <t>State</t>
        </is>
      </c>
      <c r="E11" s="25" t="inlineStr">
        <is>
          <t>Duplicate query keys across dashboard.tsx</t>
        </is>
      </c>
      <c r="F11" s="25" t="inlineStr">
        <is>
          <t>client/src/pages/dashboard.tsx has ['/api/profiles'] ×3, ['/api/events'] ×3, ['/api/goals'] ×3</t>
        </is>
      </c>
      <c r="G11" s="25" t="inlineStr">
        <is>
          <t>Partial invalidation leaves some copies stale after mutations</t>
        </is>
      </c>
      <c r="H11" s="25" t="inlineStr">
        <is>
          <t>Hoist one useQuery per key at the top of the page; children use useQueryClient().getQueryData</t>
        </is>
      </c>
      <c r="I11" s="29" t="inlineStr">
        <is>
          <t>FIXED</t>
        </is>
      </c>
      <c r="J11" s="27" t="inlineStr">
        <is>
          <t>profiles ×6, events ×4, goals ×4 deduped to page-level queries; keys byte-identical.</t>
        </is>
      </c>
    </row>
    <row r="12" ht="61.5" customHeight="1" s="13">
      <c r="B12" s="28" t="n">
        <v>10</v>
      </c>
      <c r="C12" s="28" t="inlineStr">
        <is>
          <t>P1</t>
        </is>
      </c>
      <c r="D12" s="28" t="inlineStr">
        <is>
          <t>State</t>
        </is>
      </c>
      <c r="E12" s="28" t="inlineStr">
        <is>
          <t>PullToRefresh nukes the entire cache</t>
        </is>
      </c>
      <c r="F12" s="28" t="inlineStr">
        <is>
          <t>client/src/App.tsx ~line 340 PullToRefresh handler calls queryClient.invalidateQueries() with no filter</t>
        </is>
      </c>
      <c r="G12" s="28" t="inlineStr">
        <is>
          <t>Every pull refetches every cached query — massive network storm on iOS</t>
        </is>
      </c>
      <c r="H12" s="28" t="inlineStr">
        <is>
          <t>Scope to visible route: invalidateDomain(route === '/dashboard' ? 'dashboard' : ...)</t>
        </is>
      </c>
      <c r="I12" s="29" t="inlineStr">
        <is>
          <t>FIXED</t>
        </is>
      </c>
      <c r="J12" s="27" t="inlineStr">
        <is>
          <t>Route→domain mapping with bounded fallback.</t>
        </is>
      </c>
    </row>
    <row r="13" ht="61.5" customHeight="1" s="13">
      <c r="B13" s="25" t="n">
        <v>11</v>
      </c>
      <c r="C13" s="25" t="inlineStr">
        <is>
          <t>P1</t>
        </is>
      </c>
      <c r="D13" s="25" t="inlineStr">
        <is>
          <t>State</t>
        </is>
      </c>
      <c r="E13" s="25" t="inlineStr">
        <is>
          <t>Mutations bypass optimistic UI everywhere except CalendarView</t>
        </is>
      </c>
      <c r="F13" s="25" t="inlineStr">
        <is>
          <t>components/CalendarView.tsx:205 uses optimistic-context pattern; dashboard/trackers/finance don't</t>
        </is>
      </c>
      <c r="G13" s="25" t="inlineStr">
        <is>
          <t>Every toggle/create waits for server round-trip before feedback</t>
        </is>
      </c>
      <c r="H13" s="25" t="inlineStr">
        <is>
          <t>Copy the CalendarView pattern to toggleTaskMutation, markBillPaidMutation, addExpenseMutation, addTrackerEntryMutation</t>
        </is>
      </c>
      <c r="I13" s="29" t="inlineStr">
        <is>
          <t>FIXED</t>
        </is>
      </c>
      <c r="J13" s="27" t="inlineStr">
        <is>
          <t>Pattern replicated: task toggle/create, bill paid, habit check-in, goal progress, expense add, tracker entry add/delete, quick-log.</t>
        </is>
      </c>
    </row>
    <row r="14" ht="61.5" customHeight="1" s="13">
      <c r="B14" s="28" t="n">
        <v>12</v>
      </c>
      <c r="C14" s="28" t="inlineStr">
        <is>
          <t>P1</t>
        </is>
      </c>
      <c r="D14" s="28" t="inlineStr">
        <is>
          <t>Bundle</t>
        </is>
      </c>
      <c r="E14" s="28" t="inlineStr">
        <is>
          <t>artifacts.tsx / document-detail.tsx may still statically import html2canvas/jspdf/mermaid/docx</t>
        </is>
      </c>
      <c r="F14" s="28" t="inlineStr">
        <is>
          <t>vite.config.ts strips editor chunks correctly (stripEditorChunkPreloads); document/artifact pages not verified</t>
        </is>
      </c>
      <c r="G14" s="28" t="inlineStr">
        <is>
          <t>Would inflate initial route JS beyond LCP target</t>
        </is>
      </c>
      <c r="H14" s="28" t="inlineStr">
        <is>
          <t>Run `vite build &amp;&amp; npx source-map-explorer` on the main and route chunks; dynamic-import any offenders</t>
        </is>
      </c>
      <c r="I14" s="29" t="inlineStr">
        <is>
          <t>VERIFIED OK</t>
        </is>
      </c>
      <c r="J14" s="27" t="inlineStr">
        <is>
          <t>Verified already dynamic at export handlers + idle prefetch; nothing to convert.</t>
        </is>
      </c>
    </row>
    <row r="15" ht="61.5" customHeight="1" s="13">
      <c r="B15" s="25" t="n">
        <v>13</v>
      </c>
      <c r="C15" s="25" t="inlineStr">
        <is>
          <t>P1</t>
        </is>
      </c>
      <c r="D15" s="25" t="inlineStr">
        <is>
          <t>Chat</t>
        </is>
      </c>
      <c r="E15" s="25" t="inlineStr">
        <is>
          <t>Auto-scroll uses smooth behavior on every mutation isPending flip</t>
        </is>
      </c>
      <c r="F15" s="25" t="inlineStr">
        <is>
          <t>client/src/pages/chat.tsx:2235 useEffect deps=[messages, chatMutation.isPending, uploadMutation.isPending, batchUploadMutation.isPending, saveOnlyMutation.isPending]</t>
        </is>
      </c>
      <c r="G15" s="25" t="inlineStr">
        <is>
          <t>Multiple smooth-scrolls fight each other and block main thread</t>
        </is>
      </c>
      <c r="H15" s="25" t="inlineStr">
        <is>
          <t>Only smooth-scroll when new message appended AND user is at bottom; use instant otherwise</t>
        </is>
      </c>
      <c r="I15" s="29" t="inlineStr">
        <is>
          <t>FIXED</t>
        </is>
      </c>
      <c r="J15" s="27" t="inlineStr">
        <is>
          <t>Scrolls only on append; instant at bottom; never fights user scroll.</t>
        </is>
      </c>
    </row>
    <row r="16" ht="61.5" customHeight="1" s="13">
      <c r="B16" s="28" t="n">
        <v>14</v>
      </c>
      <c r="C16" s="28" t="inlineStr">
        <is>
          <t>P2</t>
        </is>
      </c>
      <c r="D16" s="28" t="inlineStr">
        <is>
          <t>Server</t>
        </is>
      </c>
      <c r="E16" s="28" t="inlineStr">
        <is>
          <t>Many select('*') queries with no limit — profiles, trackers, expenses, tasks, events, habits, documents, artifacts, goals</t>
        </is>
      </c>
      <c r="F16" s="28" t="inlineStr">
        <is>
          <t>server/supabase-storage.ts lines 946, 1048, 1051, 1054, 1057, 1069, 1075 etc — profilesLite exists but is unused</t>
        </is>
      </c>
      <c r="G16" s="28" t="inlineStr">
        <is>
          <t>Grows linearly with account age; heavy JSONB pulled on every list read</t>
        </is>
      </c>
      <c r="H16" s="28" t="inlineStr">
        <is>
          <t>Migrate list endpoints to profilesLite / entity-specific narrow selects; keep the full select() for detail views only</t>
        </is>
      </c>
      <c r="I16" s="26" t="inlineStr">
        <is>
          <t>PARTIAL</t>
        </is>
      </c>
      <c r="J16" s="27" t="inlineStr">
        <is>
          <t>profilesLite adopted in 3 verified internal paths (filterByProfileScope, deleteProfile scan, getInsights). List endpoints kept full: clients verifiably consume the wide columns.</t>
        </is>
      </c>
    </row>
    <row r="17" ht="61.5" customHeight="1" s="13">
      <c r="B17" s="25" t="n">
        <v>15</v>
      </c>
      <c r="C17" s="25" t="inlineStr">
        <is>
          <t>P2</t>
        </is>
      </c>
      <c r="D17" s="25" t="inlineStr">
        <is>
          <t>State</t>
        </is>
      </c>
      <c r="E17" s="25" t="inlineStr">
        <is>
          <t>refetchOnMount:true + refetchOnWindowFocus:true + 60 s staleTime cause post-mutation refetch stacking</t>
        </is>
      </c>
      <c r="F17" s="25" t="inlineStr">
        <is>
          <t>client/src/lib/queryClient.ts defaultOptions</t>
        </is>
      </c>
      <c r="G17" s="25" t="inlineStr">
        <is>
          <t>After a mutation, browsing away and back triggers a full refetch of a query that was just server-persisted</t>
        </is>
      </c>
      <c r="H17" s="25" t="inlineStr">
        <is>
          <t>Extend staleTime to 5 min for stable data (profiles, trackers); rely on cache-bus for freshness</t>
        </is>
      </c>
      <c r="I17" s="29" t="inlineStr">
        <is>
          <t>FIXED</t>
        </is>
      </c>
      <c r="J17" s="27" t="inlineStr">
        <is>
          <t>Default staleTime 60s→180s; focus/mount refetch + iOS wedge recovery preserved; freshness is invalidation-driven post-migration.</t>
        </is>
      </c>
    </row>
    <row r="18" ht="61.5" customHeight="1" s="13">
      <c r="B18" s="28" t="n">
        <v>16</v>
      </c>
      <c r="C18" s="28" t="inlineStr">
        <is>
          <t>P2</t>
        </is>
      </c>
      <c r="D18" s="28" t="inlineStr">
        <is>
          <t>Server</t>
        </is>
      </c>
      <c r="E18" s="28" t="inlineStr">
        <is>
          <t>Bootstrap endpoint fires 16 parallel storage calls</t>
        </is>
      </c>
      <c r="F18" s="28" t="inlineStr">
        <is>
          <t>server/routes.ts:2490 /api/dashboard-bootstrap</t>
        </is>
      </c>
      <c r="G18" s="28" t="inlineStr">
        <is>
          <t>Per-user cold path is expensive; Supabase pool contention</t>
        </is>
      </c>
      <c r="H18" s="28" t="inlineStr">
        <is>
          <t>Cache bootstrap for 30 s per user server-side; Supabase pool contention drops immediately</t>
        </is>
      </c>
      <c r="I18" s="29" t="inlineStr">
        <is>
          <t>FIXED</t>
        </is>
      </c>
      <c r="J18" s="27" t="inlineStr">
        <is>
          <t>Per-user cache pre-existed with mutation busting; TTL tightened 60s→30s to meet spec; payload shape unchanged.</t>
        </is>
      </c>
    </row>
    <row r="19" ht="61.5" customHeight="1" s="13">
      <c r="B19" s="25" t="n">
        <v>17</v>
      </c>
      <c r="C19" s="25" t="inlineStr">
        <is>
          <t>P2</t>
        </is>
      </c>
      <c r="D19" s="25" t="inlineStr">
        <is>
          <t>Chat perf</t>
        </is>
      </c>
      <c r="E19" s="25" t="inlineStr">
        <is>
          <t>Chat search runs .toLowerCase() twice per message per keystroke</t>
        </is>
      </c>
      <c r="F19" s="25" t="inlineStr">
        <is>
          <t>client/src/pages/chat.tsx:2766 msg.content.toLowerCase().includes(searchQuery.trim().toLowerCase())</t>
        </is>
      </c>
      <c r="G19" s="25" t="inlineStr">
        <is>
          <t>Long thread search feels laggy</t>
        </is>
      </c>
      <c r="H19" s="25" t="inlineStr">
        <is>
          <t>Precompute a lowercase content field; use useDeferredValue(searchQuery)</t>
        </is>
      </c>
      <c r="I19" s="29" t="inlineStr">
        <is>
          <t>FIXED</t>
        </is>
      </c>
      <c r="J19" s="27" t="inlineStr">
        <is>
          <t>Single lowercase + useDeferredValue + memoized filter.</t>
        </is>
      </c>
    </row>
    <row r="20" ht="61.5" customHeight="1" s="13">
      <c r="B20" s="28" t="n">
        <v>18</v>
      </c>
      <c r="C20" s="28" t="inlineStr">
        <is>
          <t>P2</t>
        </is>
      </c>
      <c r="D20" s="28" t="inlineStr">
        <is>
          <t>iOS layout</t>
        </is>
      </c>
      <c r="E20" s="28" t="inlineStr">
        <is>
          <t>Chat attachment images have no explicit width/height</t>
        </is>
      </c>
      <c r="F20" s="28" t="inlineStr">
        <is>
          <t>client/src/pages/chat.tsx:~2800 &lt;img className='max-h-48 w-auto'&gt;</t>
        </is>
      </c>
      <c r="G20" s="28" t="inlineStr">
        <is>
          <t>Layout shifts when images load, breaks CLS target</t>
        </is>
      </c>
      <c r="H20" s="28" t="inlineStr">
        <is>
          <t>Store intrinsic w/h at upload time; render &lt;img width={w} height={h}&gt; or aspect-ratio</t>
        </is>
      </c>
      <c r="I20" s="29" t="inlineStr">
        <is>
          <t>FIXED</t>
        </is>
      </c>
      <c r="J20" s="27" t="inlineStr">
        <is>
          <t>Reserved-height bubble + explicit img height.</t>
        </is>
      </c>
    </row>
    <row r="21" ht="61.5" customHeight="1" s="13">
      <c r="B21" s="25" t="n">
        <v>19</v>
      </c>
      <c r="C21" s="25" t="inlineStr">
        <is>
          <t>P2</t>
        </is>
      </c>
      <c r="D21" s="25" t="inlineStr">
        <is>
          <t>Error handling</t>
        </is>
      </c>
      <c r="E21" s="25" t="inlineStr">
        <is>
          <t>Only 5 SectionErrorBoundary usages across the app</t>
        </is>
      </c>
      <c r="F21" s="25" t="inlineStr">
        <is>
          <t>grep count</t>
        </is>
      </c>
      <c r="G21" s="25" t="inlineStr">
        <is>
          <t>One crashy component takes down a whole route</t>
        </is>
      </c>
      <c r="H21" s="25" t="inlineStr">
        <is>
          <t>Wrap every large data section in SectionErrorBoundary with a friendly fallback</t>
        </is>
      </c>
      <c r="I21" s="26" t="inlineStr">
        <is>
          <t>PARTIAL</t>
        </is>
      </c>
      <c r="J21" s="27" t="inlineStr">
        <is>
          <t>7 new boundaries across artifacts/document-detail/editor; dashboard/profile-detail sections remain follow-up.</t>
        </is>
      </c>
    </row>
    <row r="22" ht="61.5" customHeight="1" s="13">
      <c r="B22" s="28" t="n">
        <v>20</v>
      </c>
      <c r="C22" s="28" t="inlineStr">
        <is>
          <t>P3</t>
        </is>
      </c>
      <c r="D22" s="28" t="inlineStr">
        <is>
          <t>Console</t>
        </is>
      </c>
      <c r="E22" s="28" t="inlineStr">
        <is>
          <t>Stray console.log in dashboard.tsx</t>
        </is>
      </c>
      <c r="F22" s="28" t="inlineStr">
        <is>
          <t>client/src/pages/dashboard.tsx (2 occurrences)</t>
        </is>
      </c>
      <c r="G22" s="28" t="inlineStr">
        <is>
          <t>Verify build strips them — vite esbuild drop is configured</t>
        </is>
      </c>
      <c r="H22" s="28" t="inlineStr">
        <is>
          <t>Confirm production bundle is clean; add lint rule to prevent regressions</t>
        </is>
      </c>
      <c r="I22" s="29" t="inlineStr">
        <is>
          <t>FIXED</t>
        </is>
      </c>
      <c r="J22" s="27" t="inlineStr">
        <is>
          <t>Removed; ?perfLog=1 opt-in instrument restored (test-pinned); esbuild drop strips console in prod.</t>
        </is>
      </c>
    </row>
    <row r="23" ht="61.5" customHeight="1" s="13">
      <c r="B23" s="25" t="n">
        <v>21</v>
      </c>
      <c r="C23" s="25" t="inlineStr">
        <is>
          <t>P3</t>
        </is>
      </c>
      <c r="D23" s="25" t="inlineStr">
        <is>
          <t>State</t>
        </is>
      </c>
      <c r="E23" s="25" t="inlineStr">
        <is>
          <t>Route-level invalidations don't reflect selected profile in query key</t>
        </is>
      </c>
      <c r="F23" s="25" t="inlineStr">
        <is>
          <t>profile-detail.tsx queries mix profile id into keys; dashboard queries don't universally</t>
        </is>
      </c>
      <c r="G23" s="25" t="inlineStr">
        <is>
          <t>Post-profile-switch some cards paint stale until next tick</t>
        </is>
      </c>
      <c r="H23" s="25" t="inlineStr">
        <is>
          <t>Include selectedProfileId in every profile-scoped query key so switch triggers refetch by identity</t>
        </is>
      </c>
      <c r="I23" s="29" t="inlineStr">
        <is>
          <t>VERIFIED OK</t>
        </is>
      </c>
      <c r="J23" s="27" t="inlineStr">
        <is>
          <t>Audited both detail pages: all profile-scoped keys already embed ids; id-less keys are global lists filtered client-side.</t>
        </is>
      </c>
    </row>
  </sheetData>
  <autoFilter ref="B2:H23"/>
  <conditionalFormatting sqref="C3:C23">
    <cfRule type="cellIs" rank="0" priority="2" equalAverage="0" operator="equal" aboveAverage="0" dxfId="17" text="" percent="0" bottom="0">
      <formula>"P0"</formula>
    </cfRule>
    <cfRule type="cellIs" rank="0" priority="3" equalAverage="0" operator="equal" aboveAverage="0" dxfId="16" text="" percent="0" bottom="0">
      <formula>"P1"</formula>
    </cfRule>
    <cfRule type="cellIs" rank="0" priority="4" equalAverage="0" operator="equal" aboveAverage="0" dxfId="19" text="" percent="0" bottom="0">
      <formula>"P2"</formula>
    </cfRule>
    <cfRule type="cellIs" rank="0" priority="5" equalAverage="0" operator="equal" aboveAverage="0" dxfId="20" text="" percent="0" bottom="0">
      <formula>"P3"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2026-07-20T23:31:00Z</dcterms:created>
  <dcterms:modified xsi:type="dcterms:W3CDTF">2026-07-21T01:15:54Z</dcterms:modified>
  <cp:revision>0</cp:revision>
</cp:coreProperties>
</file>